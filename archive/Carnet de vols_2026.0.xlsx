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3.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es Documents\Parapente\"/>
    </mc:Choice>
  </mc:AlternateContent>
  <bookViews>
    <workbookView xWindow="-108" yWindow="-108" windowWidth="23256" windowHeight="12576" activeTab="4"/>
  </bookViews>
  <sheets>
    <sheet name="Exercices" sheetId="19" r:id="rId1"/>
    <sheet name="Comparatif voile" sheetId="21" r:id="rId2"/>
    <sheet name="Matériel" sheetId="23" r:id="rId3"/>
    <sheet name="Synthèse" sheetId="9" r:id="rId4"/>
    <sheet name="2026" sheetId="43" r:id="rId5"/>
    <sheet name="2025" sheetId="41" r:id="rId6"/>
    <sheet name="2024" sheetId="40" r:id="rId7"/>
    <sheet name="2023" sheetId="39" r:id="rId8"/>
    <sheet name="2022" sheetId="37" r:id="rId9"/>
    <sheet name="2021" sheetId="36" r:id="rId10"/>
    <sheet name="2020" sheetId="33" r:id="rId11"/>
    <sheet name="Cal 2020" sheetId="35" r:id="rId12"/>
    <sheet name="2019" sheetId="30" r:id="rId13"/>
    <sheet name="Graph 2019" sheetId="32" r:id="rId14"/>
    <sheet name="2018" sheetId="24" r:id="rId15"/>
    <sheet name="Calendr. 2018" sheetId="27" r:id="rId16"/>
    <sheet name="2017" sheetId="20" r:id="rId17"/>
    <sheet name="Graph 2017" sheetId="22" r:id="rId18"/>
    <sheet name="2016" sheetId="18" r:id="rId19"/>
    <sheet name="2015" sheetId="16" r:id="rId20"/>
    <sheet name="Comparatif sellettes" sheetId="17" r:id="rId21"/>
    <sheet name="2010" sheetId="15" r:id="rId22"/>
    <sheet name="2009" sheetId="14" r:id="rId23"/>
    <sheet name="2008" sheetId="13" r:id="rId24"/>
    <sheet name="2007" sheetId="12" r:id="rId25"/>
    <sheet name="2006" sheetId="11" r:id="rId26"/>
    <sheet name="2005" sheetId="10" r:id="rId27"/>
    <sheet name="2004" sheetId="5" r:id="rId28"/>
    <sheet name="2003" sheetId="6" r:id="rId29"/>
    <sheet name="2002" sheetId="7" r:id="rId30"/>
    <sheet name="2001" sheetId="8" r:id="rId31"/>
    <sheet name="2000" sheetId="1" r:id="rId32"/>
    <sheet name="Vols 96 au 01_06_2000" sheetId="4" r:id="rId33"/>
  </sheets>
  <definedNames>
    <definedName name="_xlnm._FilterDatabase" localSheetId="31" hidden="1">'2000'!$A$1:$P$200</definedName>
    <definedName name="_xlnm._FilterDatabase" localSheetId="27" hidden="1">'2004'!$A$1:$O$40</definedName>
    <definedName name="_xlnm._FilterDatabase" localSheetId="26" hidden="1">'2005'!$A$1:$N$46</definedName>
    <definedName name="_xlnm._FilterDatabase" localSheetId="25" hidden="1">'2006'!$A$1:$N$1</definedName>
    <definedName name="_xlnm._FilterDatabase" localSheetId="24" hidden="1">'2007'!$A$1:$N$29</definedName>
    <definedName name="_xlnm._FilterDatabase" localSheetId="23" hidden="1">'2008'!$A$1:$N$24</definedName>
    <definedName name="_xlnm._FilterDatabase" localSheetId="22" hidden="1">'2009'!$A$1:$N$1</definedName>
    <definedName name="_xlnm._FilterDatabase" localSheetId="21" hidden="1">'2010'!$A$1:$N$1</definedName>
    <definedName name="_xlnm._FilterDatabase" localSheetId="18" hidden="1">'2016'!$A$2:$S$64</definedName>
    <definedName name="_xlnm._FilterDatabase" localSheetId="16" hidden="1">'2017'!$A$1:$Q$93</definedName>
    <definedName name="_xlnm._FilterDatabase" localSheetId="14" hidden="1">'2018'!$A$1:$R$128</definedName>
    <definedName name="_xlnm._FilterDatabase" localSheetId="12" hidden="1">'2019'!$A$1:$R$114</definedName>
    <definedName name="_xlnm._FilterDatabase" localSheetId="10" hidden="1">'2020'!$A$1:$Q$66</definedName>
    <definedName name="_xlnm._FilterDatabase" localSheetId="9" hidden="1">'2021'!$A$1:$Q$49</definedName>
    <definedName name="_xlnm._FilterDatabase" localSheetId="8" hidden="1">'2022'!$A$1:$Q$47</definedName>
    <definedName name="_xlnm._FilterDatabase" localSheetId="7" hidden="1">'2023'!$A$1:$Q$110</definedName>
    <definedName name="_xlnm._FilterDatabase" localSheetId="6" hidden="1">'2024'!$A$1:$Q$132</definedName>
    <definedName name="_xlnm._FilterDatabase" localSheetId="5" hidden="1">'2025'!$A$1:$Q$136</definedName>
    <definedName name="_xlnm._FilterDatabase" localSheetId="4" hidden="1">'2026'!$A$1:$Q$1</definedName>
    <definedName name="_xlnm._FilterDatabase" localSheetId="20" hidden="1">'Comparatif sellettes'!$A$1:$U$11</definedName>
    <definedName name="_xlnm._FilterDatabase" localSheetId="1" hidden="1">'Comparatif voile'!$A$1:$V$29</definedName>
    <definedName name="_xlnm._FilterDatabase" localSheetId="2" hidden="1">Matériel!$A$1:$V$1</definedName>
    <definedName name="_xlnm._FilterDatabase" localSheetId="32" hidden="1">'Vols 96 au 01_06_2000'!$B$1:$S$229</definedName>
    <definedName name="_xlnm.Print_Titles" localSheetId="31">'2000'!$1:$1</definedName>
    <definedName name="_xlnm.Print_Titles" localSheetId="32">'Vols 96 au 01_06_2000'!$1:$1</definedName>
    <definedName name="_xlnm.Print_Area" localSheetId="31">'2000'!$A$1:$P$51</definedName>
    <definedName name="_xlnm.Print_Area" localSheetId="1">'Comparatif voile'!$A$2:$U$29</definedName>
    <definedName name="_xlnm.Print_Area" localSheetId="2">Matériel!$A$2:$U$8</definedName>
    <definedName name="_xlnm.Print_Area" localSheetId="32">'Vols 96 au 01_06_2000'!$A$1:$S$229</definedName>
  </definedNames>
  <calcPr calcId="162913"/>
</workbook>
</file>

<file path=xl/calcChain.xml><?xml version="1.0" encoding="utf-8"?>
<calcChain xmlns="http://schemas.openxmlformats.org/spreadsheetml/2006/main">
  <c r="O8" i="43" l="1"/>
  <c r="O9" i="43"/>
  <c r="O10" i="43" s="1"/>
  <c r="O11" i="43" s="1"/>
  <c r="O12" i="43" s="1"/>
  <c r="B2" i="43" l="1"/>
  <c r="O2" i="43"/>
  <c r="O3" i="43" s="1"/>
  <c r="O4" i="43" s="1"/>
  <c r="O5" i="43" s="1"/>
  <c r="O6" i="43" s="1"/>
  <c r="O7" i="43" s="1"/>
  <c r="N2" i="43"/>
  <c r="G28" i="9" l="1"/>
  <c r="F28" i="9"/>
  <c r="D28" i="9"/>
  <c r="C28" i="9"/>
  <c r="O2" i="41"/>
  <c r="O3" i="41" s="1"/>
  <c r="O4" i="41" s="1"/>
  <c r="O5" i="41" s="1"/>
  <c r="O6" i="41" s="1"/>
  <c r="O7" i="41" s="1"/>
  <c r="O8" i="41" s="1"/>
  <c r="O9" i="41" s="1"/>
  <c r="O10" i="41" s="1"/>
  <c r="O11" i="41" s="1"/>
  <c r="O12" i="41" s="1"/>
  <c r="O13" i="41" s="1"/>
  <c r="O14" i="41" s="1"/>
  <c r="O15" i="41" s="1"/>
  <c r="O16" i="41" s="1"/>
  <c r="O17" i="41" s="1"/>
  <c r="O18" i="41" s="1"/>
  <c r="O19" i="41" s="1"/>
  <c r="O20" i="41" s="1"/>
  <c r="O21" i="41" s="1"/>
  <c r="O22" i="41" s="1"/>
  <c r="O23" i="41" s="1"/>
  <c r="O24" i="41" s="1"/>
  <c r="O25" i="41" s="1"/>
  <c r="O26" i="41" s="1"/>
  <c r="O27" i="41" s="1"/>
  <c r="O28" i="41" s="1"/>
  <c r="O29" i="41" s="1"/>
  <c r="O30" i="41" s="1"/>
  <c r="O31" i="41" s="1"/>
  <c r="O32" i="41" s="1"/>
  <c r="O33" i="41" s="1"/>
  <c r="O34" i="41" s="1"/>
  <c r="O35" i="41" s="1"/>
  <c r="O36" i="41" s="1"/>
  <c r="O37" i="41" s="1"/>
  <c r="O38" i="41" s="1"/>
  <c r="O39" i="41" s="1"/>
  <c r="O40" i="41" s="1"/>
  <c r="O41" i="41" s="1"/>
  <c r="O42" i="41" s="1"/>
  <c r="O43" i="41" s="1"/>
  <c r="O44" i="41" s="1"/>
  <c r="O45" i="41" s="1"/>
  <c r="O46" i="41" s="1"/>
  <c r="O47" i="41" s="1"/>
  <c r="O48" i="41" s="1"/>
  <c r="O49" i="41" s="1"/>
  <c r="O50" i="41" s="1"/>
  <c r="O51" i="41" s="1"/>
  <c r="O52" i="41" s="1"/>
  <c r="O53" i="41" s="1"/>
  <c r="O54" i="41" s="1"/>
  <c r="O55" i="41" s="1"/>
  <c r="O56" i="41" s="1"/>
  <c r="O57" i="41" s="1"/>
  <c r="O58" i="41" s="1"/>
  <c r="O59" i="41" s="1"/>
  <c r="O60" i="41" s="1"/>
  <c r="O61" i="41" s="1"/>
  <c r="O62" i="41" s="1"/>
  <c r="O63" i="41" s="1"/>
  <c r="O64" i="41" s="1"/>
  <c r="O65" i="41" s="1"/>
  <c r="O66" i="41" s="1"/>
  <c r="O67" i="41" s="1"/>
  <c r="O68" i="41" s="1"/>
  <c r="O69" i="41" s="1"/>
  <c r="O70" i="41" s="1"/>
  <c r="O71" i="41" s="1"/>
  <c r="O72" i="41" s="1"/>
  <c r="O73" i="41" s="1"/>
  <c r="O74" i="41" s="1"/>
  <c r="O75" i="41" s="1"/>
  <c r="O76" i="41" s="1"/>
  <c r="O77" i="41" s="1"/>
  <c r="O78" i="41" s="1"/>
  <c r="O79" i="41" s="1"/>
  <c r="O80" i="41" s="1"/>
  <c r="O81" i="41" s="1"/>
  <c r="O82" i="41" s="1"/>
  <c r="O83" i="41" s="1"/>
  <c r="O84" i="41" s="1"/>
  <c r="O85" i="41" s="1"/>
  <c r="O86" i="41" s="1"/>
  <c r="O87" i="41" s="1"/>
  <c r="O88" i="41" s="1"/>
  <c r="O89" i="41" s="1"/>
  <c r="O90" i="41" s="1"/>
  <c r="O91" i="41" s="1"/>
  <c r="O92" i="41" s="1"/>
  <c r="O93" i="41" s="1"/>
  <c r="O94" i="41" s="1"/>
  <c r="O95" i="41" s="1"/>
  <c r="O96" i="41" s="1"/>
  <c r="O97" i="41" s="1"/>
  <c r="O98" i="41" s="1"/>
  <c r="O99" i="41" s="1"/>
  <c r="O100" i="41" s="1"/>
  <c r="O101" i="41" s="1"/>
  <c r="O102" i="41" s="1"/>
  <c r="O103" i="41" s="1"/>
  <c r="O104" i="41" s="1"/>
  <c r="O105" i="41" s="1"/>
  <c r="O106" i="41" s="1"/>
  <c r="O107" i="41" s="1"/>
  <c r="O108" i="41" s="1"/>
  <c r="O109" i="41" s="1"/>
  <c r="O110" i="41" s="1"/>
  <c r="O111" i="41" s="1"/>
  <c r="O112" i="41" s="1"/>
  <c r="O113" i="41" s="1"/>
  <c r="O114" i="41" s="1"/>
  <c r="O115" i="41" s="1"/>
  <c r="O116" i="41" s="1"/>
  <c r="O117" i="41" s="1"/>
  <c r="O118" i="41" s="1"/>
  <c r="O119" i="41" s="1"/>
  <c r="O120" i="41" s="1"/>
  <c r="O121" i="41" s="1"/>
  <c r="O122" i="41" s="1"/>
  <c r="O123" i="41" s="1"/>
  <c r="O124" i="41" s="1"/>
  <c r="O125" i="41" s="1"/>
  <c r="O126" i="41" s="1"/>
  <c r="O127" i="41" s="1"/>
  <c r="O128" i="41" s="1"/>
  <c r="O129" i="41" s="1"/>
  <c r="O130" i="41" s="1"/>
  <c r="O131" i="41" s="1"/>
  <c r="O132" i="41" s="1"/>
  <c r="O133" i="41" s="1"/>
  <c r="O134" i="41" s="1"/>
  <c r="O135" i="41" s="1"/>
  <c r="O136" i="41" s="1"/>
  <c r="H28" i="9" l="1"/>
  <c r="E28" i="9"/>
  <c r="G27" i="9"/>
  <c r="G2" i="9" s="1"/>
  <c r="F27" i="9"/>
  <c r="F2" i="9" s="1"/>
  <c r="D27" i="9"/>
  <c r="D2" i="9" s="1"/>
  <c r="C27" i="9"/>
  <c r="C2" i="9" s="1"/>
  <c r="O2" i="40"/>
  <c r="O3" i="40" s="1"/>
  <c r="O4" i="40" s="1"/>
  <c r="O5" i="40" s="1"/>
  <c r="O6" i="40" s="1"/>
  <c r="O7" i="40" s="1"/>
  <c r="O8" i="40" s="1"/>
  <c r="O9" i="40" s="1"/>
  <c r="O10" i="40" s="1"/>
  <c r="O11" i="40" s="1"/>
  <c r="O12" i="40" s="1"/>
  <c r="O13" i="40" s="1"/>
  <c r="O14" i="40" s="1"/>
  <c r="O15" i="40" s="1"/>
  <c r="O16" i="40" s="1"/>
  <c r="O17" i="40" s="1"/>
  <c r="O18" i="40" s="1"/>
  <c r="O19" i="40" s="1"/>
  <c r="O20" i="40" s="1"/>
  <c r="O21" i="40" s="1"/>
  <c r="O22" i="40" s="1"/>
  <c r="O23" i="40" s="1"/>
  <c r="O24" i="40" s="1"/>
  <c r="O25" i="40" s="1"/>
  <c r="O26" i="40" s="1"/>
  <c r="O27" i="40" s="1"/>
  <c r="O28" i="40" s="1"/>
  <c r="O29" i="40" s="1"/>
  <c r="O30" i="40" s="1"/>
  <c r="O31" i="40" s="1"/>
  <c r="O32" i="40" s="1"/>
  <c r="O33" i="40" s="1"/>
  <c r="O34" i="40" s="1"/>
  <c r="O35" i="40" s="1"/>
  <c r="O36" i="40" s="1"/>
  <c r="O37" i="40" s="1"/>
  <c r="O38" i="40" s="1"/>
  <c r="O39" i="40" s="1"/>
  <c r="O40" i="40" s="1"/>
  <c r="O41" i="40" s="1"/>
  <c r="O42" i="40" s="1"/>
  <c r="O43" i="40" s="1"/>
  <c r="O44" i="40" s="1"/>
  <c r="O45" i="40" s="1"/>
  <c r="O46" i="40" s="1"/>
  <c r="O47" i="40" s="1"/>
  <c r="O48" i="40" s="1"/>
  <c r="O49" i="40" s="1"/>
  <c r="O50" i="40" s="1"/>
  <c r="O51" i="40" s="1"/>
  <c r="O52" i="40" s="1"/>
  <c r="O53" i="40" s="1"/>
  <c r="O54" i="40" s="1"/>
  <c r="O55" i="40" s="1"/>
  <c r="O56" i="40" s="1"/>
  <c r="O57" i="40" s="1"/>
  <c r="O58" i="40" s="1"/>
  <c r="O59" i="40" s="1"/>
  <c r="O60" i="40" s="1"/>
  <c r="O61" i="40" s="1"/>
  <c r="O62" i="40" s="1"/>
  <c r="O63" i="40" s="1"/>
  <c r="O64" i="40" s="1"/>
  <c r="O65" i="40" s="1"/>
  <c r="O66" i="40" s="1"/>
  <c r="O67" i="40" s="1"/>
  <c r="O68" i="40" s="1"/>
  <c r="O69" i="40" s="1"/>
  <c r="O70" i="40" s="1"/>
  <c r="O71" i="40" s="1"/>
  <c r="O72" i="40" s="1"/>
  <c r="O73" i="40" s="1"/>
  <c r="O74" i="40" s="1"/>
  <c r="O75" i="40" s="1"/>
  <c r="O76" i="40" s="1"/>
  <c r="O77" i="40" s="1"/>
  <c r="O78" i="40" s="1"/>
  <c r="O79" i="40" s="1"/>
  <c r="O80" i="40" s="1"/>
  <c r="O81" i="40" s="1"/>
  <c r="O82" i="40" s="1"/>
  <c r="O83" i="40" s="1"/>
  <c r="O84" i="40" s="1"/>
  <c r="O85" i="40" s="1"/>
  <c r="O86" i="40" s="1"/>
  <c r="O87" i="40" s="1"/>
  <c r="O88" i="40" s="1"/>
  <c r="O89" i="40" s="1"/>
  <c r="O90" i="40" s="1"/>
  <c r="O91" i="40" s="1"/>
  <c r="O92" i="40" s="1"/>
  <c r="O93" i="40" s="1"/>
  <c r="O94" i="40" s="1"/>
  <c r="O95" i="40" s="1"/>
  <c r="O96" i="40" s="1"/>
  <c r="O97" i="40" s="1"/>
  <c r="O98" i="40" s="1"/>
  <c r="O99" i="40" s="1"/>
  <c r="O100" i="40" s="1"/>
  <c r="O101" i="40" s="1"/>
  <c r="O102" i="40" s="1"/>
  <c r="O103" i="40" s="1"/>
  <c r="O104" i="40" s="1"/>
  <c r="O105" i="40" s="1"/>
  <c r="O106" i="40" s="1"/>
  <c r="O107" i="40" s="1"/>
  <c r="O108" i="40" s="1"/>
  <c r="O109" i="40" s="1"/>
  <c r="O110" i="40" s="1"/>
  <c r="O111" i="40" s="1"/>
  <c r="O112" i="40" s="1"/>
  <c r="O113" i="40" s="1"/>
  <c r="O114" i="40" s="1"/>
  <c r="O115" i="40" s="1"/>
  <c r="O116" i="40" s="1"/>
  <c r="O117" i="40" s="1"/>
  <c r="O118" i="40" s="1"/>
  <c r="O119" i="40" s="1"/>
  <c r="O120" i="40" s="1"/>
  <c r="O121" i="40" s="1"/>
  <c r="O122" i="40" s="1"/>
  <c r="O123" i="40" s="1"/>
  <c r="O124" i="40" s="1"/>
  <c r="O125" i="40" s="1"/>
  <c r="O126" i="40" s="1"/>
  <c r="O127" i="40" s="1"/>
  <c r="O128" i="40" s="1"/>
  <c r="O129" i="40" s="1"/>
  <c r="O130" i="40" s="1"/>
  <c r="O131" i="40" s="1"/>
  <c r="O132" i="40" s="1"/>
  <c r="H27" i="9" l="1"/>
  <c r="E27" i="9"/>
  <c r="G26" i="9"/>
  <c r="F26" i="9" l="1"/>
  <c r="D26" i="9"/>
  <c r="C26" i="9"/>
  <c r="H26" i="9" l="1"/>
  <c r="E26" i="9"/>
  <c r="O3" i="39"/>
  <c r="O4" i="39" s="1"/>
  <c r="O5" i="39" s="1"/>
  <c r="O6" i="39" s="1"/>
  <c r="O7" i="39" s="1"/>
  <c r="O8" i="39" s="1"/>
  <c r="O9" i="39" s="1"/>
  <c r="O10" i="39" s="1"/>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O40" i="39" s="1"/>
  <c r="O41" i="39" s="1"/>
  <c r="O42" i="39" s="1"/>
  <c r="O43" i="39" s="1"/>
  <c r="O44" i="39" s="1"/>
  <c r="O45" i="39" s="1"/>
  <c r="O46" i="39" s="1"/>
  <c r="O47" i="39" s="1"/>
  <c r="O48" i="39" s="1"/>
  <c r="O49" i="39" s="1"/>
  <c r="O50" i="39" s="1"/>
  <c r="O51" i="39" s="1"/>
  <c r="O52" i="39" s="1"/>
  <c r="O53" i="39" s="1"/>
  <c r="O54" i="39" s="1"/>
  <c r="O55" i="39" s="1"/>
  <c r="O56" i="39" s="1"/>
  <c r="O57" i="39" s="1"/>
  <c r="O58" i="39" s="1"/>
  <c r="O59" i="39" s="1"/>
  <c r="O60" i="39" s="1"/>
  <c r="O61" i="39" s="1"/>
  <c r="O62" i="39" s="1"/>
  <c r="O63" i="39" s="1"/>
  <c r="O64" i="39" s="1"/>
  <c r="O65" i="39" s="1"/>
  <c r="O66" i="39" s="1"/>
  <c r="O67" i="39" s="1"/>
  <c r="O68" i="39" s="1"/>
  <c r="O69" i="39" s="1"/>
  <c r="O70" i="39" s="1"/>
  <c r="O71" i="39" s="1"/>
  <c r="O72" i="39" s="1"/>
  <c r="O73" i="39" s="1"/>
  <c r="O74" i="39" s="1"/>
  <c r="O75" i="39" s="1"/>
  <c r="O76" i="39" s="1"/>
  <c r="O77" i="39" s="1"/>
  <c r="O78" i="39" s="1"/>
  <c r="O79" i="39" s="1"/>
  <c r="O80" i="39" s="1"/>
  <c r="O81" i="39" s="1"/>
  <c r="O82" i="39" s="1"/>
  <c r="O83" i="39" s="1"/>
  <c r="O84" i="39" s="1"/>
  <c r="O85" i="39" s="1"/>
  <c r="O86" i="39" s="1"/>
  <c r="O87" i="39" s="1"/>
  <c r="O88" i="39" s="1"/>
  <c r="O89" i="39" s="1"/>
  <c r="O90" i="39" s="1"/>
  <c r="O91" i="39" s="1"/>
  <c r="O92" i="39" s="1"/>
  <c r="O93" i="39" s="1"/>
  <c r="O94" i="39" s="1"/>
  <c r="O95" i="39" s="1"/>
  <c r="O96" i="39" s="1"/>
  <c r="O97" i="39" s="1"/>
  <c r="O98" i="39" s="1"/>
  <c r="O99" i="39" s="1"/>
  <c r="O100" i="39" s="1"/>
  <c r="O101" i="39" s="1"/>
  <c r="O102" i="39" s="1"/>
  <c r="O103" i="39" s="1"/>
  <c r="O104" i="39" s="1"/>
  <c r="O105" i="39" s="1"/>
  <c r="O106" i="39" s="1"/>
  <c r="O107" i="39" s="1"/>
  <c r="O108" i="39" s="1"/>
  <c r="O109" i="39" s="1"/>
  <c r="O110" i="39" s="1"/>
  <c r="O2" i="39"/>
  <c r="O3" i="37"/>
  <c r="L30" i="21" l="1"/>
  <c r="E30" i="21"/>
  <c r="G25" i="9" l="1"/>
  <c r="F25" i="9"/>
  <c r="D25" i="9"/>
  <c r="C25" i="9"/>
  <c r="E25" i="9" l="1"/>
  <c r="H25" i="9"/>
  <c r="O4" i="37"/>
  <c r="O5" i="37" s="1"/>
  <c r="O6" i="37" s="1"/>
  <c r="O7" i="37" s="1"/>
  <c r="O8" i="37" s="1"/>
  <c r="O9" i="37" s="1"/>
  <c r="O10" i="37" s="1"/>
  <c r="O11" i="37" s="1"/>
  <c r="O12" i="37" s="1"/>
  <c r="O13" i="37" s="1"/>
  <c r="O14" i="37" s="1"/>
  <c r="O15" i="37" s="1"/>
  <c r="O16" i="37" s="1"/>
  <c r="O17" i="37" s="1"/>
  <c r="O18" i="37" s="1"/>
  <c r="O19" i="37" s="1"/>
  <c r="O20" i="37" s="1"/>
  <c r="O21" i="37" s="1"/>
  <c r="O22" i="37" s="1"/>
  <c r="O23" i="37" s="1"/>
  <c r="O24" i="37" s="1"/>
  <c r="O25" i="37" s="1"/>
  <c r="O26" i="37" s="1"/>
  <c r="O27" i="37" s="1"/>
  <c r="O28" i="37" s="1"/>
  <c r="O29" i="37" s="1"/>
  <c r="O30" i="37" s="1"/>
  <c r="O31" i="37" s="1"/>
  <c r="O32" i="37" s="1"/>
  <c r="O33" i="37" s="1"/>
  <c r="O34" i="37" s="1"/>
  <c r="O35" i="37" s="1"/>
  <c r="O36" i="37" s="1"/>
  <c r="O37" i="37" s="1"/>
  <c r="O38" i="37" s="1"/>
  <c r="O39" i="37" s="1"/>
  <c r="O40" i="37" s="1"/>
  <c r="O41" i="37" s="1"/>
  <c r="O42" i="37" s="1"/>
  <c r="O43" i="37" s="1"/>
  <c r="O44" i="37" s="1"/>
  <c r="O45" i="37" s="1"/>
  <c r="O46" i="37" s="1"/>
  <c r="O47" i="37" s="1"/>
  <c r="G24" i="9" l="1"/>
  <c r="F24" i="9"/>
  <c r="D24" i="9"/>
  <c r="C24" i="9"/>
  <c r="O3" i="36"/>
  <c r="O4" i="36" s="1"/>
  <c r="O5" i="36" s="1"/>
  <c r="O6" i="36" s="1"/>
  <c r="O7" i="36" s="1"/>
  <c r="O8" i="36" s="1"/>
  <c r="O9" i="36" s="1"/>
  <c r="O10" i="36" s="1"/>
  <c r="O11" i="36" s="1"/>
  <c r="O12" i="36" s="1"/>
  <c r="O13" i="36" s="1"/>
  <c r="O14" i="36" s="1"/>
  <c r="O15" i="36" s="1"/>
  <c r="O16" i="36" s="1"/>
  <c r="O17" i="36" s="1"/>
  <c r="O18" i="36" s="1"/>
  <c r="O19" i="36" s="1"/>
  <c r="O20" i="36" s="1"/>
  <c r="O21" i="36" s="1"/>
  <c r="O22" i="36" s="1"/>
  <c r="O23" i="36" s="1"/>
  <c r="O24" i="36" s="1"/>
  <c r="O25" i="36" s="1"/>
  <c r="O26" i="36" s="1"/>
  <c r="O27" i="36" s="1"/>
  <c r="O28" i="36" s="1"/>
  <c r="O29" i="36" s="1"/>
  <c r="O30" i="36" s="1"/>
  <c r="O31" i="36" s="1"/>
  <c r="O32" i="36" s="1"/>
  <c r="O33" i="36" s="1"/>
  <c r="O34" i="36" s="1"/>
  <c r="O35" i="36" s="1"/>
  <c r="O36" i="36" s="1"/>
  <c r="O37" i="36" s="1"/>
  <c r="O38" i="36" s="1"/>
  <c r="O39" i="36" s="1"/>
  <c r="O40" i="36" s="1"/>
  <c r="O41" i="36" s="1"/>
  <c r="O42" i="36" s="1"/>
  <c r="O43" i="36" s="1"/>
  <c r="O44" i="36" s="1"/>
  <c r="O45" i="36" s="1"/>
  <c r="O46" i="36" s="1"/>
  <c r="O47" i="36" s="1"/>
  <c r="H24" i="9" l="1"/>
  <c r="E24" i="9"/>
  <c r="G23" i="9" l="1"/>
  <c r="F23" i="9"/>
  <c r="D23" i="9"/>
  <c r="C23" i="9"/>
  <c r="H23" i="9" l="1"/>
  <c r="E23" i="9"/>
  <c r="AC35" i="35" l="1"/>
  <c r="AC34" i="35"/>
  <c r="O3" i="33" l="1"/>
  <c r="O4" i="33" s="1"/>
  <c r="O5" i="33" s="1"/>
  <c r="O6" i="33" s="1"/>
  <c r="O7" i="33" s="1"/>
  <c r="O8" i="33" s="1"/>
  <c r="O9" i="33" s="1"/>
  <c r="O10" i="33" s="1"/>
  <c r="O11" i="33" s="1"/>
  <c r="O12" i="33" s="1"/>
  <c r="O13" i="33" s="1"/>
  <c r="O14" i="33" s="1"/>
  <c r="O15" i="33" s="1"/>
  <c r="O16" i="33" s="1"/>
  <c r="O17" i="33" s="1"/>
  <c r="O18" i="33" s="1"/>
  <c r="O19" i="33" s="1"/>
  <c r="O20" i="33" s="1"/>
  <c r="O21" i="33" s="1"/>
  <c r="O22" i="33" s="1"/>
  <c r="O23" i="33" s="1"/>
  <c r="O24" i="33" s="1"/>
  <c r="O25" i="33" s="1"/>
  <c r="O26" i="33" s="1"/>
  <c r="O27" i="33" s="1"/>
  <c r="O28" i="33" s="1"/>
  <c r="O29" i="33" s="1"/>
  <c r="O30" i="33" s="1"/>
  <c r="O31" i="33" s="1"/>
  <c r="O32" i="33" s="1"/>
  <c r="O33" i="33" s="1"/>
  <c r="O34" i="33" s="1"/>
  <c r="O35" i="33" s="1"/>
  <c r="O36" i="33" s="1"/>
  <c r="O37" i="33" s="1"/>
  <c r="O38" i="33" s="1"/>
  <c r="O39" i="33" s="1"/>
  <c r="O40" i="33" s="1"/>
  <c r="O41" i="33" s="1"/>
  <c r="O42" i="33" s="1"/>
  <c r="O43" i="33" s="1"/>
  <c r="O44" i="33" s="1"/>
  <c r="O45" i="33" s="1"/>
  <c r="O46" i="33" s="1"/>
  <c r="O47" i="33" s="1"/>
  <c r="O48" i="33" s="1"/>
  <c r="O49" i="33" s="1"/>
  <c r="O50" i="33" s="1"/>
  <c r="O51" i="33" s="1"/>
  <c r="O52" i="33" s="1"/>
  <c r="O53" i="33" s="1"/>
  <c r="O54" i="33" s="1"/>
  <c r="O55" i="33" s="1"/>
  <c r="O56" i="33" s="1"/>
  <c r="O57" i="33" s="1"/>
  <c r="O58" i="33" s="1"/>
  <c r="O59" i="33" s="1"/>
  <c r="O60" i="33" s="1"/>
  <c r="O61" i="33" s="1"/>
  <c r="O62" i="33" s="1"/>
  <c r="O63" i="33" s="1"/>
  <c r="O64" i="33" s="1"/>
  <c r="O65" i="33" s="1"/>
  <c r="O66" i="33" s="1"/>
  <c r="G22" i="9" l="1"/>
  <c r="F22" i="9"/>
  <c r="D22" i="9"/>
  <c r="C22" i="9"/>
  <c r="H22" i="9" l="1"/>
  <c r="E22" i="9"/>
  <c r="O3" i="30"/>
  <c r="O4" i="30" s="1"/>
  <c r="O5" i="30" s="1"/>
  <c r="O6" i="30" s="1"/>
  <c r="O7" i="30" s="1"/>
  <c r="O8" i="30" s="1"/>
  <c r="O9" i="30" s="1"/>
  <c r="O10" i="30" s="1"/>
  <c r="O11" i="30" s="1"/>
  <c r="O12" i="30" s="1"/>
  <c r="O13" i="30" s="1"/>
  <c r="O14" i="30" s="1"/>
  <c r="O15" i="30" s="1"/>
  <c r="O16" i="30" s="1"/>
  <c r="O17" i="30" s="1"/>
  <c r="O18" i="30" s="1"/>
  <c r="O19" i="30" s="1"/>
  <c r="O20" i="30" s="1"/>
  <c r="O21" i="30" s="1"/>
  <c r="O22" i="30" s="1"/>
  <c r="O23" i="30" s="1"/>
  <c r="O24" i="30" s="1"/>
  <c r="O25" i="30" s="1"/>
  <c r="O26" i="30" s="1"/>
  <c r="O27" i="30" s="1"/>
  <c r="O28" i="30" s="1"/>
  <c r="O29" i="30" s="1"/>
  <c r="O30" i="30" s="1"/>
  <c r="O31" i="30" s="1"/>
  <c r="O32" i="30" s="1"/>
  <c r="O33" i="30" s="1"/>
  <c r="O34" i="30" s="1"/>
  <c r="O35" i="30" s="1"/>
  <c r="O36" i="30" s="1"/>
  <c r="O37" i="30" s="1"/>
  <c r="O38" i="30" s="1"/>
  <c r="O39" i="30" s="1"/>
  <c r="O40" i="30" s="1"/>
  <c r="O41" i="30" s="1"/>
  <c r="O42" i="30" s="1"/>
  <c r="O43" i="30" s="1"/>
  <c r="O44" i="30" s="1"/>
  <c r="O45" i="30" s="1"/>
  <c r="O46" i="30" s="1"/>
  <c r="O47" i="30" s="1"/>
  <c r="O48" i="30" s="1"/>
  <c r="O49" i="30" s="1"/>
  <c r="O50" i="30" s="1"/>
  <c r="O51" i="30" s="1"/>
  <c r="O52" i="30" s="1"/>
  <c r="O53" i="30" s="1"/>
  <c r="O54" i="30" s="1"/>
  <c r="O55" i="30" s="1"/>
  <c r="O56" i="30" s="1"/>
  <c r="O57" i="30" s="1"/>
  <c r="O58" i="30" s="1"/>
  <c r="O59" i="30" s="1"/>
  <c r="O60" i="30" s="1"/>
  <c r="O61" i="30" s="1"/>
  <c r="O62" i="30" s="1"/>
  <c r="O63" i="30" s="1"/>
  <c r="O64" i="30" s="1"/>
  <c r="O65" i="30" s="1"/>
  <c r="O66" i="30" s="1"/>
  <c r="O67" i="30" s="1"/>
  <c r="O68" i="30" s="1"/>
  <c r="O69" i="30" s="1"/>
  <c r="O70" i="30" s="1"/>
  <c r="O71" i="30" s="1"/>
  <c r="O72" i="30" s="1"/>
  <c r="O73" i="30" s="1"/>
  <c r="O74" i="30" s="1"/>
  <c r="O75" i="30" s="1"/>
  <c r="O76" i="30" s="1"/>
  <c r="O77" i="30" s="1"/>
  <c r="O78" i="30" s="1"/>
  <c r="O79" i="30" s="1"/>
  <c r="G21" i="9" l="1"/>
  <c r="F21" i="9"/>
  <c r="D21" i="9"/>
  <c r="C21" i="9"/>
  <c r="H21" i="9" l="1"/>
  <c r="E21" i="9"/>
  <c r="O2" i="24" l="1"/>
  <c r="O3" i="24" l="1"/>
  <c r="O4" i="24" s="1"/>
  <c r="O5" i="24" s="1"/>
  <c r="O6" i="24" s="1"/>
  <c r="O7" i="24" s="1"/>
  <c r="O8" i="24" s="1"/>
  <c r="O9" i="24" s="1"/>
  <c r="O10" i="24" s="1"/>
  <c r="O11" i="24" s="1"/>
  <c r="O12" i="24" s="1"/>
  <c r="O13" i="24" s="1"/>
  <c r="O14" i="24" s="1"/>
  <c r="O15" i="24" s="1"/>
  <c r="O16" i="24" s="1"/>
  <c r="O17" i="24" s="1"/>
  <c r="O18" i="24" s="1"/>
  <c r="O19" i="24" s="1"/>
  <c r="O20" i="24" s="1"/>
  <c r="O21" i="24" s="1"/>
  <c r="O22" i="24" s="1"/>
  <c r="O23" i="24" s="1"/>
  <c r="O24" i="24" s="1"/>
  <c r="O25" i="24" s="1"/>
  <c r="O26" i="24" s="1"/>
  <c r="O27" i="24" s="1"/>
  <c r="O28" i="24" s="1"/>
  <c r="O29" i="24" s="1"/>
  <c r="O30" i="24" s="1"/>
  <c r="O31" i="24" s="1"/>
  <c r="O32" i="24" s="1"/>
  <c r="O33" i="24" s="1"/>
  <c r="O34" i="24" s="1"/>
  <c r="O35" i="24" s="1"/>
  <c r="O36" i="24" s="1"/>
  <c r="O37" i="24" s="1"/>
  <c r="O38" i="24" s="1"/>
  <c r="O39" i="24" s="1"/>
  <c r="O40" i="24" s="1"/>
  <c r="O41" i="24" s="1"/>
  <c r="O42" i="24" s="1"/>
  <c r="O43" i="24" s="1"/>
  <c r="O44" i="24" s="1"/>
  <c r="O45" i="24" s="1"/>
  <c r="O46" i="24" s="1"/>
  <c r="O47" i="24" s="1"/>
  <c r="O48" i="24" s="1"/>
  <c r="O49" i="24" s="1"/>
  <c r="O50" i="24" s="1"/>
  <c r="O51" i="24" s="1"/>
  <c r="O52" i="24" s="1"/>
  <c r="O53" i="24" s="1"/>
  <c r="O54" i="24" s="1"/>
  <c r="O55" i="24" s="1"/>
  <c r="O56" i="24" s="1"/>
  <c r="O57" i="24" s="1"/>
  <c r="O58" i="24" s="1"/>
  <c r="O59" i="24" s="1"/>
  <c r="O60" i="24" s="1"/>
  <c r="O61" i="24" s="1"/>
  <c r="O62" i="24" s="1"/>
  <c r="O63" i="24" s="1"/>
  <c r="O64" i="24" s="1"/>
  <c r="O65" i="24" s="1"/>
  <c r="O66" i="24" s="1"/>
  <c r="O67" i="24" s="1"/>
  <c r="O68" i="24" s="1"/>
  <c r="O69" i="24" s="1"/>
  <c r="O70" i="24" s="1"/>
  <c r="O71" i="24" s="1"/>
  <c r="O72" i="24" s="1"/>
  <c r="O73" i="24" s="1"/>
  <c r="O74" i="24" s="1"/>
  <c r="O75" i="24" s="1"/>
  <c r="O76" i="24" s="1"/>
  <c r="O77" i="24" s="1"/>
  <c r="O78" i="24" s="1"/>
  <c r="O79" i="24" s="1"/>
  <c r="O80" i="24" s="1"/>
  <c r="O81" i="24" s="1"/>
  <c r="O82" i="24" s="1"/>
  <c r="O83" i="24" s="1"/>
  <c r="O84" i="24" s="1"/>
  <c r="O85" i="24" s="1"/>
  <c r="O86" i="24" s="1"/>
  <c r="O87" i="24" s="1"/>
  <c r="O88" i="24" s="1"/>
  <c r="O89" i="24" s="1"/>
  <c r="O90" i="24" s="1"/>
  <c r="O91" i="24" s="1"/>
  <c r="O92" i="24" s="1"/>
  <c r="O93" i="24" s="1"/>
  <c r="O94" i="24" s="1"/>
  <c r="O95" i="24" s="1"/>
  <c r="O96" i="24" s="1"/>
  <c r="O97" i="24" s="1"/>
  <c r="O98" i="24" s="1"/>
  <c r="O99" i="24" s="1"/>
  <c r="O100" i="24" s="1"/>
  <c r="O101" i="24" s="1"/>
  <c r="O102" i="24" s="1"/>
  <c r="O103" i="24" s="1"/>
  <c r="O104" i="24" s="1"/>
  <c r="O105" i="24" s="1"/>
  <c r="O106" i="24" s="1"/>
  <c r="O107" i="24" s="1"/>
  <c r="O108" i="24" s="1"/>
  <c r="O109" i="24" s="1"/>
  <c r="O110" i="24" s="1"/>
  <c r="O111" i="24" s="1"/>
  <c r="O112" i="24" s="1"/>
  <c r="O113" i="24" s="1"/>
  <c r="O114" i="24" s="1"/>
  <c r="O115" i="24" s="1"/>
  <c r="O116" i="24" s="1"/>
  <c r="O117" i="24" s="1"/>
  <c r="O118" i="24" s="1"/>
  <c r="O119" i="24" s="1"/>
  <c r="O120" i="24" s="1"/>
  <c r="O121" i="24" s="1"/>
  <c r="O122" i="24" s="1"/>
  <c r="O123" i="24" s="1"/>
  <c r="O124" i="24" s="1"/>
  <c r="O125" i="24" s="1"/>
  <c r="O126" i="24" s="1"/>
  <c r="O127" i="24" s="1"/>
  <c r="O128" i="24" s="1"/>
  <c r="L3" i="8" l="1"/>
  <c r="L4" i="8"/>
  <c r="L5" i="8" s="1"/>
  <c r="L6" i="8" s="1"/>
  <c r="L7" i="8" s="1"/>
  <c r="L8" i="8" s="1"/>
  <c r="L9" i="8" s="1"/>
  <c r="L10" i="8" s="1"/>
  <c r="L11" i="8" s="1"/>
  <c r="L12" i="8" s="1"/>
  <c r="L13" i="8" s="1"/>
  <c r="L14" i="8" s="1"/>
  <c r="L15" i="8" s="1"/>
  <c r="L16" i="8" s="1"/>
  <c r="L17" i="8" s="1"/>
  <c r="L18" i="8" s="1"/>
  <c r="L19" i="8" s="1"/>
  <c r="L20" i="8" s="1"/>
  <c r="L21" i="8" s="1"/>
  <c r="L22" i="8" s="1"/>
  <c r="L23" i="8" s="1"/>
  <c r="L24" i="8" s="1"/>
  <c r="L25" i="8" s="1"/>
  <c r="L26" i="8" s="1"/>
  <c r="L27" i="8" s="1"/>
  <c r="L28" i="8" s="1"/>
  <c r="L29" i="8" s="1"/>
  <c r="L30" i="8" s="1"/>
  <c r="L31" i="8" s="1"/>
  <c r="L32" i="8" s="1"/>
  <c r="L33" i="8" s="1"/>
  <c r="L34" i="8" s="1"/>
  <c r="L35" i="8" s="1"/>
  <c r="L36" i="8" s="1"/>
  <c r="L37" i="8" s="1"/>
  <c r="L38" i="8" s="1"/>
  <c r="L39" i="8" s="1"/>
  <c r="L40" i="8" s="1"/>
  <c r="L41" i="8" s="1"/>
  <c r="L42" i="8" s="1"/>
  <c r="L43" i="8" s="1"/>
  <c r="L44" i="8" s="1"/>
  <c r="L45" i="8" s="1"/>
  <c r="L46" i="8" s="1"/>
  <c r="L47" i="8" s="1"/>
  <c r="L48" i="8" s="1"/>
  <c r="L49" i="8" s="1"/>
  <c r="L50" i="8" s="1"/>
  <c r="L51" i="8" s="1"/>
  <c r="L52" i="8" s="1"/>
  <c r="L53" i="8" s="1"/>
  <c r="L54" i="8" s="1"/>
  <c r="L55" i="8" s="1"/>
  <c r="L56" i="8" s="1"/>
  <c r="L57" i="8" s="1"/>
  <c r="L58" i="8" s="1"/>
  <c r="L59" i="8" s="1"/>
  <c r="L60" i="8" s="1"/>
  <c r="L61" i="8" s="1"/>
  <c r="L62" i="8" s="1"/>
  <c r="L63" i="8" s="1"/>
  <c r="L64" i="8" s="1"/>
  <c r="L65" i="8" s="1"/>
  <c r="L66" i="8" s="1"/>
  <c r="L67" i="8" s="1"/>
  <c r="L68" i="8" s="1"/>
  <c r="L69" i="8" s="1"/>
  <c r="L70" i="8" s="1"/>
  <c r="L71" i="8" s="1"/>
  <c r="L72" i="8" s="1"/>
  <c r="L73" i="8" s="1"/>
  <c r="L74" i="8" s="1"/>
  <c r="L75" i="8" s="1"/>
  <c r="L76" i="8" s="1"/>
  <c r="L77" i="8" s="1"/>
  <c r="L78" i="8" s="1"/>
  <c r="L79" i="8" s="1"/>
  <c r="L80" i="8" s="1"/>
  <c r="L81" i="8" s="1"/>
  <c r="L82" i="8" s="1"/>
  <c r="L83" i="8" s="1"/>
  <c r="L84" i="8" s="1"/>
  <c r="L85" i="8" s="1"/>
  <c r="L86" i="8" s="1"/>
  <c r="L87" i="8" s="1"/>
  <c r="L88" i="8" s="1"/>
  <c r="L89" i="8" s="1"/>
  <c r="L90" i="8" s="1"/>
  <c r="L91" i="8" s="1"/>
  <c r="L92" i="8" s="1"/>
  <c r="L93" i="8" s="1"/>
  <c r="L94" i="8" s="1"/>
  <c r="L95" i="8" s="1"/>
  <c r="L96" i="8" s="1"/>
  <c r="L97" i="8" s="1"/>
  <c r="K38" i="11"/>
  <c r="K30" i="12"/>
  <c r="D12" i="9" s="1"/>
  <c r="E12" i="9" s="1"/>
  <c r="K17" i="14"/>
  <c r="K18" i="14" s="1"/>
  <c r="D14" i="9" s="1"/>
  <c r="A23" i="16"/>
  <c r="K23" i="16"/>
  <c r="O4" i="18"/>
  <c r="O5" i="18" s="1"/>
  <c r="O6" i="18" s="1"/>
  <c r="O7" i="18" s="1"/>
  <c r="O8" i="18" s="1"/>
  <c r="O9" i="18" s="1"/>
  <c r="O10" i="18" s="1"/>
  <c r="O11" i="18" s="1"/>
  <c r="O12" i="18" s="1"/>
  <c r="O13" i="18" s="1"/>
  <c r="O14" i="18" s="1"/>
  <c r="O15" i="18" s="1"/>
  <c r="O16" i="18" s="1"/>
  <c r="O17" i="18" s="1"/>
  <c r="O18" i="18" s="1"/>
  <c r="O19" i="18" s="1"/>
  <c r="O20" i="18" s="1"/>
  <c r="O21" i="18" s="1"/>
  <c r="O22" i="18" s="1"/>
  <c r="O23" i="18" s="1"/>
  <c r="O24" i="18" s="1"/>
  <c r="O25" i="18" s="1"/>
  <c r="O26" i="18" s="1"/>
  <c r="O27" i="18" s="1"/>
  <c r="O28" i="18" s="1"/>
  <c r="O29" i="18" s="1"/>
  <c r="O30" i="18" s="1"/>
  <c r="O31" i="18" s="1"/>
  <c r="O32" i="18" s="1"/>
  <c r="O33" i="18" s="1"/>
  <c r="O34" i="18" s="1"/>
  <c r="O35" i="18" s="1"/>
  <c r="O36" i="18" s="1"/>
  <c r="O37" i="18" s="1"/>
  <c r="O38" i="18" s="1"/>
  <c r="O39" i="18" s="1"/>
  <c r="O40" i="18" s="1"/>
  <c r="O41" i="18" s="1"/>
  <c r="O42" i="18" s="1"/>
  <c r="O43" i="18" s="1"/>
  <c r="O44" i="18" s="1"/>
  <c r="O45" i="18" s="1"/>
  <c r="O46" i="18" s="1"/>
  <c r="O47" i="18" s="1"/>
  <c r="O48" i="18" s="1"/>
  <c r="O49" i="18" s="1"/>
  <c r="O50" i="18" s="1"/>
  <c r="O51" i="18" s="1"/>
  <c r="O52" i="18" s="1"/>
  <c r="O53" i="18" s="1"/>
  <c r="O54" i="18" s="1"/>
  <c r="O55" i="18" s="1"/>
  <c r="O56" i="18" s="1"/>
  <c r="O57" i="18" s="1"/>
  <c r="O58" i="18" s="1"/>
  <c r="O59" i="18" s="1"/>
  <c r="O60" i="18" s="1"/>
  <c r="O61" i="18" s="1"/>
  <c r="O62" i="18" s="1"/>
  <c r="O63" i="18" s="1"/>
  <c r="O64" i="18" s="1"/>
  <c r="M2" i="20"/>
  <c r="M3" i="20" s="1"/>
  <c r="M4" i="20" s="1"/>
  <c r="M5" i="20" s="1"/>
  <c r="M6" i="20" s="1"/>
  <c r="M7" i="20" s="1"/>
  <c r="M8" i="20" s="1"/>
  <c r="M9" i="20" s="1"/>
  <c r="M10" i="20" s="1"/>
  <c r="M11" i="20" s="1"/>
  <c r="M12" i="20" s="1"/>
  <c r="M13" i="20" s="1"/>
  <c r="M14" i="20" s="1"/>
  <c r="M15" i="20" s="1"/>
  <c r="M16" i="20" s="1"/>
  <c r="M17" i="20" s="1"/>
  <c r="M18" i="20" s="1"/>
  <c r="M19" i="20" s="1"/>
  <c r="M20" i="20" s="1"/>
  <c r="M21" i="20" s="1"/>
  <c r="M22" i="20" s="1"/>
  <c r="M23" i="20" s="1"/>
  <c r="M24" i="20" s="1"/>
  <c r="M25" i="20" s="1"/>
  <c r="M26" i="20" s="1"/>
  <c r="M27" i="20" s="1"/>
  <c r="M28" i="20" s="1"/>
  <c r="M29" i="20" s="1"/>
  <c r="M30" i="20" s="1"/>
  <c r="M31" i="20" s="1"/>
  <c r="M32" i="20" s="1"/>
  <c r="M33" i="20" s="1"/>
  <c r="M34" i="20" s="1"/>
  <c r="M35" i="20" s="1"/>
  <c r="M36" i="20" s="1"/>
  <c r="M37" i="20" s="1"/>
  <c r="M38" i="20" s="1"/>
  <c r="M39" i="20" s="1"/>
  <c r="M40" i="20" s="1"/>
  <c r="M41" i="20" s="1"/>
  <c r="M42" i="20" s="1"/>
  <c r="M43" i="20" s="1"/>
  <c r="M44" i="20" s="1"/>
  <c r="M45" i="20" s="1"/>
  <c r="M46" i="20" s="1"/>
  <c r="M47" i="20" s="1"/>
  <c r="M48" i="20" s="1"/>
  <c r="M49" i="20" s="1"/>
  <c r="M50" i="20" s="1"/>
  <c r="M51" i="20" s="1"/>
  <c r="M52" i="20" s="1"/>
  <c r="M53" i="20" s="1"/>
  <c r="M54" i="20" s="1"/>
  <c r="M55" i="20" s="1"/>
  <c r="M56" i="20" s="1"/>
  <c r="M57" i="20" s="1"/>
  <c r="M58" i="20" s="1"/>
  <c r="M59" i="20" s="1"/>
  <c r="M60" i="20" s="1"/>
  <c r="M61" i="20" s="1"/>
  <c r="M62" i="20" s="1"/>
  <c r="M63" i="20" s="1"/>
  <c r="M64" i="20" s="1"/>
  <c r="M65" i="20" s="1"/>
  <c r="M66" i="20" s="1"/>
  <c r="M67" i="20" s="1"/>
  <c r="M68" i="20" s="1"/>
  <c r="M69" i="20" s="1"/>
  <c r="M70" i="20" s="1"/>
  <c r="M71" i="20" s="1"/>
  <c r="M72" i="20" s="1"/>
  <c r="M73" i="20" s="1"/>
  <c r="M74" i="20" s="1"/>
  <c r="M75" i="20" s="1"/>
  <c r="M76" i="20" s="1"/>
  <c r="M77" i="20" s="1"/>
  <c r="M78" i="20" s="1"/>
  <c r="M79" i="20" s="1"/>
  <c r="M80" i="20" s="1"/>
  <c r="M81" i="20" s="1"/>
  <c r="M82" i="20" s="1"/>
  <c r="M83" i="20" s="1"/>
  <c r="M84" i="20" s="1"/>
  <c r="M85" i="20" s="1"/>
  <c r="M86" i="20" s="1"/>
  <c r="M87" i="20" s="1"/>
  <c r="M88" i="20" s="1"/>
  <c r="M89" i="20" s="1"/>
  <c r="M90" i="20" s="1"/>
  <c r="M91" i="20" s="1"/>
  <c r="M92" i="20" s="1"/>
  <c r="M93" i="20" s="1"/>
  <c r="C20" i="9"/>
  <c r="D20" i="9"/>
  <c r="C3" i="9"/>
  <c r="D3" i="9"/>
  <c r="C4" i="9"/>
  <c r="D4" i="9"/>
  <c r="F4" i="9"/>
  <c r="C5" i="9"/>
  <c r="D5" i="9"/>
  <c r="F5" i="9"/>
  <c r="G5" i="9"/>
  <c r="C6" i="9"/>
  <c r="D6" i="9"/>
  <c r="F6" i="9"/>
  <c r="G6" i="9"/>
  <c r="C7" i="9"/>
  <c r="D7" i="9"/>
  <c r="F7" i="9"/>
  <c r="G7" i="9"/>
  <c r="H7" i="9" s="1"/>
  <c r="C8" i="9"/>
  <c r="D8" i="9"/>
  <c r="F8" i="9"/>
  <c r="G8" i="9"/>
  <c r="C9" i="9"/>
  <c r="E9" i="9" s="1"/>
  <c r="D9" i="9"/>
  <c r="F9" i="9"/>
  <c r="G9" i="9"/>
  <c r="C10" i="9"/>
  <c r="D10" i="9"/>
  <c r="F10" i="9"/>
  <c r="G10" i="9"/>
  <c r="C11" i="9"/>
  <c r="D11" i="9"/>
  <c r="F11" i="9"/>
  <c r="G11" i="9"/>
  <c r="H11" i="9" s="1"/>
  <c r="C12" i="9"/>
  <c r="F12" i="9"/>
  <c r="G12" i="9"/>
  <c r="C13" i="9"/>
  <c r="E13" i="9" s="1"/>
  <c r="D13" i="9"/>
  <c r="F13" i="9"/>
  <c r="G13" i="9"/>
  <c r="C14" i="9"/>
  <c r="F14" i="9"/>
  <c r="G14" i="9"/>
  <c r="A16" i="9"/>
  <c r="E18" i="9"/>
  <c r="C19" i="9"/>
  <c r="D19" i="9"/>
  <c r="F19" i="9"/>
  <c r="G19" i="9"/>
  <c r="F20" i="9"/>
  <c r="G20" i="9"/>
  <c r="E2" i="21"/>
  <c r="I2" i="21"/>
  <c r="K2" i="21"/>
  <c r="L2" i="21"/>
  <c r="E3" i="21"/>
  <c r="I3" i="21"/>
  <c r="E4" i="21"/>
  <c r="I4" i="21"/>
  <c r="E5" i="21"/>
  <c r="I5" i="21"/>
  <c r="K5" i="21"/>
  <c r="L5" i="21"/>
  <c r="E6" i="21"/>
  <c r="I6" i="21"/>
  <c r="K6" i="21"/>
  <c r="L6" i="21"/>
  <c r="E7" i="21"/>
  <c r="I7" i="21"/>
  <c r="K7" i="21"/>
  <c r="L7" i="21"/>
  <c r="E8" i="21"/>
  <c r="I8" i="21"/>
  <c r="K8" i="21"/>
  <c r="L8" i="21"/>
  <c r="E9" i="21"/>
  <c r="I9" i="21"/>
  <c r="K9" i="21"/>
  <c r="L9" i="21"/>
  <c r="E10" i="21"/>
  <c r="I10" i="21"/>
  <c r="K10" i="21"/>
  <c r="L10" i="21"/>
  <c r="E11" i="21"/>
  <c r="I11" i="21"/>
  <c r="E12" i="21"/>
  <c r="I12" i="21"/>
  <c r="K12" i="21"/>
  <c r="L12" i="21"/>
  <c r="E13" i="21"/>
  <c r="I13" i="21"/>
  <c r="E14" i="21"/>
  <c r="I14" i="21"/>
  <c r="K14" i="21"/>
  <c r="L14" i="21"/>
  <c r="E15" i="21"/>
  <c r="I15" i="21"/>
  <c r="K15" i="21"/>
  <c r="L15" i="21"/>
  <c r="E16" i="21"/>
  <c r="I16" i="21"/>
  <c r="K16" i="21"/>
  <c r="L16" i="21"/>
  <c r="E17" i="21"/>
  <c r="I17" i="21"/>
  <c r="K17" i="21"/>
  <c r="L17" i="21"/>
  <c r="E18" i="21"/>
  <c r="I18" i="21"/>
  <c r="K18" i="21"/>
  <c r="L18" i="21"/>
  <c r="E19" i="21"/>
  <c r="I19" i="21"/>
  <c r="E20" i="21"/>
  <c r="I20" i="21"/>
  <c r="K20" i="21"/>
  <c r="L20" i="21"/>
  <c r="E21" i="21"/>
  <c r="I21" i="21"/>
  <c r="K21" i="21"/>
  <c r="L21" i="21"/>
  <c r="E22" i="21"/>
  <c r="I22" i="21"/>
  <c r="E23" i="21"/>
  <c r="I23" i="21"/>
  <c r="E24" i="21"/>
  <c r="I24" i="21"/>
  <c r="K24" i="21"/>
  <c r="L24" i="21"/>
  <c r="E25" i="21"/>
  <c r="I25" i="21"/>
  <c r="E26" i="21"/>
  <c r="I26" i="21"/>
  <c r="K26" i="21"/>
  <c r="L26" i="21"/>
  <c r="E27" i="21"/>
  <c r="I27" i="21"/>
  <c r="K27" i="21"/>
  <c r="L27" i="21"/>
  <c r="E28" i="21"/>
  <c r="I28" i="21"/>
  <c r="K28" i="21"/>
  <c r="L28" i="21"/>
  <c r="E29" i="21"/>
  <c r="I29" i="21"/>
  <c r="K29" i="21"/>
  <c r="L29" i="21"/>
  <c r="E11" i="9" l="1"/>
  <c r="H13" i="9"/>
  <c r="E19" i="9"/>
  <c r="H12" i="9"/>
  <c r="H9" i="9"/>
  <c r="H8" i="9"/>
  <c r="H5" i="9"/>
  <c r="E8" i="9"/>
  <c r="E7" i="9"/>
  <c r="E5" i="9"/>
  <c r="H20" i="9"/>
  <c r="H14" i="9"/>
  <c r="H10" i="9"/>
  <c r="H6" i="9"/>
  <c r="H19" i="9"/>
  <c r="E10" i="9"/>
  <c r="E6" i="9"/>
  <c r="E4" i="9"/>
  <c r="E14" i="9"/>
  <c r="I2" i="9"/>
  <c r="E20" i="9"/>
  <c r="H2" i="9" l="1"/>
  <c r="E2" i="9"/>
</calcChain>
</file>

<file path=xl/comments1.xml><?xml version="1.0" encoding="utf-8"?>
<comments xmlns="http://schemas.openxmlformats.org/spreadsheetml/2006/main">
  <authors>
    <author>HR</author>
  </authors>
  <commentList>
    <comment ref="J9" authorId="0" shapeId="0">
      <text>
        <r>
          <rPr>
            <b/>
            <sz val="9"/>
            <color indexed="81"/>
            <rFont val="Tahoma"/>
            <family val="2"/>
          </rPr>
          <t>Avec PTV = 88 kg</t>
        </r>
      </text>
    </comment>
    <comment ref="L9" authorId="0" shapeId="0">
      <text>
        <r>
          <rPr>
            <b/>
            <sz val="9"/>
            <color indexed="81"/>
            <rFont val="Tahoma"/>
            <family val="2"/>
          </rPr>
          <t>Avec PTV = 88 kg</t>
        </r>
      </text>
    </comment>
    <comment ref="J10" authorId="0" shapeId="0">
      <text>
        <r>
          <rPr>
            <b/>
            <sz val="9"/>
            <color indexed="81"/>
            <rFont val="Tahoma"/>
            <family val="2"/>
          </rPr>
          <t>avec PTV 95 kg</t>
        </r>
      </text>
    </comment>
    <comment ref="L10" authorId="0" shapeId="0">
      <text>
        <r>
          <rPr>
            <b/>
            <sz val="9"/>
            <color indexed="81"/>
            <rFont val="Tahoma"/>
            <family val="2"/>
          </rPr>
          <t>Avec PTV = 95 kg</t>
        </r>
      </text>
    </comment>
  </commentList>
</comments>
</file>

<file path=xl/comments2.xml><?xml version="1.0" encoding="utf-8"?>
<comments xmlns="http://schemas.openxmlformats.org/spreadsheetml/2006/main">
  <authors>
    <author>HR</author>
  </authors>
  <commentList>
    <comment ref="H15" authorId="0" shapeId="0">
      <text>
        <r>
          <rPr>
            <b/>
            <sz val="9"/>
            <color indexed="81"/>
            <rFont val="Tahoma"/>
            <charset val="1"/>
          </rPr>
          <t xml:space="preserve">Monté en 1h. Record. En coupant sur le bas du sentier pour monter en pente directe
</t>
        </r>
      </text>
    </comment>
  </commentList>
</comments>
</file>

<file path=xl/comments3.xml><?xml version="1.0" encoding="utf-8"?>
<comments xmlns="http://schemas.openxmlformats.org/spreadsheetml/2006/main">
  <authors>
    <author>HR</author>
  </authors>
  <commentList>
    <comment ref="S6" authorId="0" shapeId="0">
      <text>
        <r>
          <rPr>
            <b/>
            <sz val="9"/>
            <color indexed="81"/>
            <rFont val="Tahoma"/>
            <family val="2"/>
          </rPr>
          <t>Calais - Douvre</t>
        </r>
      </text>
    </comment>
    <comment ref="S14" authorId="0" shapeId="0">
      <text>
        <r>
          <rPr>
            <b/>
            <sz val="9"/>
            <color indexed="81"/>
            <rFont val="Tahoma"/>
            <family val="2"/>
          </rPr>
          <t>Air Tatoo 13-15/07</t>
        </r>
        <r>
          <rPr>
            <sz val="9"/>
            <color indexed="81"/>
            <rFont val="Tahoma"/>
            <family val="2"/>
          </rPr>
          <t xml:space="preserve">
</t>
        </r>
      </text>
    </comment>
    <comment ref="S19" authorId="0" shapeId="0">
      <text>
        <r>
          <rPr>
            <b/>
            <sz val="9"/>
            <color indexed="81"/>
            <rFont val="Tahoma"/>
            <family val="2"/>
          </rPr>
          <t>retour Douvre - Calais</t>
        </r>
      </text>
    </comment>
    <comment ref="S23" authorId="0" shapeId="0">
      <text>
        <r>
          <rPr>
            <b/>
            <sz val="9"/>
            <color indexed="81"/>
            <rFont val="Tahoma"/>
            <family val="2"/>
          </rPr>
          <t xml:space="preserve">Louis Pêche
</t>
        </r>
      </text>
    </comment>
    <comment ref="L26" authorId="0" shapeId="0">
      <text>
        <r>
          <rPr>
            <b/>
            <sz val="9"/>
            <color indexed="81"/>
            <rFont val="Tahoma"/>
            <family val="2"/>
          </rPr>
          <t>du 26/05 au 02/06</t>
        </r>
      </text>
    </comment>
    <comment ref="AB29" authorId="0" shapeId="0">
      <text>
        <r>
          <rPr>
            <b/>
            <sz val="9"/>
            <color indexed="81"/>
            <rFont val="Tahoma"/>
            <family val="2"/>
          </rPr>
          <t>Prévu le 29, report le 30,
Autour de Vicdessos
Jacques Séguéla, Volarem tant que Pourrem
675951994 ou 672681786</t>
        </r>
      </text>
    </comment>
    <comment ref="AB30" authorId="0" shapeId="0">
      <text>
        <r>
          <rPr>
            <b/>
            <sz val="9"/>
            <color indexed="81"/>
            <rFont val="Tahoma"/>
            <family val="2"/>
          </rPr>
          <t>Prévu le 29, report le 30
à Saurier (63)
http://x-couze.eklablog.com</t>
        </r>
      </text>
    </comment>
  </commentList>
</comments>
</file>

<file path=xl/comments4.xml><?xml version="1.0" encoding="utf-8"?>
<comments xmlns="http://schemas.openxmlformats.org/spreadsheetml/2006/main">
  <authors>
    <author>Hervé ROBERT</author>
  </authors>
  <commentList>
    <comment ref="H5" authorId="0" shapeId="0">
      <text>
        <r>
          <rPr>
            <b/>
            <sz val="9"/>
            <color indexed="81"/>
            <rFont val="Tahoma"/>
            <family val="2"/>
          </rPr>
          <t xml:space="preserve">Dont maillons et acc.
</t>
        </r>
      </text>
    </comment>
    <comment ref="I6" authorId="0" shapeId="0">
      <text>
        <r>
          <rPr>
            <b/>
            <sz val="9"/>
            <color indexed="81"/>
            <rFont val="Tahoma"/>
            <family val="2"/>
          </rPr>
          <t>Ajustable</t>
        </r>
      </text>
    </comment>
    <comment ref="H11" authorId="0" shapeId="0">
      <text>
        <r>
          <rPr>
            <b/>
            <sz val="9"/>
            <color indexed="81"/>
            <rFont val="Tahoma"/>
            <family val="2"/>
          </rPr>
          <t>Crashbox 400g</t>
        </r>
      </text>
    </comment>
  </commentList>
</comments>
</file>

<file path=xl/sharedStrings.xml><?xml version="1.0" encoding="utf-8"?>
<sst xmlns="http://schemas.openxmlformats.org/spreadsheetml/2006/main" count="9862" uniqueCount="2669">
  <si>
    <t>1er jour après dépression et avant monté anticyclone</t>
  </si>
  <si>
    <t>Vol très ressemblant au précédent sauf que les nuages étant encore très présent sur Arbas, je monte à Cornudère. En haut, je suis juste au niveau des nuages et c'est alimenté Sud-Ouest. Je prends donc mon temps, je remets le mat de la biroute coté Nord, je mange un morceau et finis pas décoller dans le nuage ou du moins juste à la limite. Je fais quand même les prenières secondes du vol dans le bourillard, et je ferai d'autres incursions dans les nuages au liong du vol. Plas bas, au Planot, c'est un peu la loterie pour sortir alors qu'en paratnt de Cornu, j'accroche directement Pène Blanque, puis Soulan. Je fais le grand tour du bocal avec une incursion asse loin en plaine jusqu'à la "bosse" à l'ouest de Chein dessus. Je commence à apprivoiser ce coin là.... Beaucoup de plaisir au cours de ce vol, beaucoup de bonnes sensations avec l'air, avec la voile, le parapente, quand cf'est comme ça; c'est vraiment génialissime.</t>
  </si>
  <si>
    <t>Durée moy / an (15 ans)</t>
  </si>
  <si>
    <t>V light 3,8 kg, meme ^prix</t>
  </si>
  <si>
    <t xml:space="preserve">Ozone Magnum  </t>
  </si>
  <si>
    <t>Anticyclonique chaud, chaud.</t>
  </si>
  <si>
    <t>BGD Dual</t>
  </si>
  <si>
    <t>Recyclage biplace avec Laurent Pradères</t>
  </si>
  <si>
    <t>Ozone Delta 1 (Claire)</t>
  </si>
  <si>
    <t>La couverture nuageuse a été longue a se disiper, tant pis. Je fais le vol avec des gunners, Yohann De Petris, François Périé, Jean-Marc etc …. Et je m'accroche bien jusq'au thermique d'Herran ou François ressort magnifiquement bien, et ou moi après une bonne dizaine de minutes je finis par lacher le morceau. Je ne sais pas si j'aurai fini par réussir, mais de toutes façon CT l'heure que je mettais fixé pour ensuite remonter au déco à pied (65') pour être dans les temps à Colomiers.</t>
  </si>
  <si>
    <t xml:space="preserve">Volé 100 heures en 17 mois, acheté 1800 € + 150 € de contrôle, vendu 1200 €, ça fait 7,5 €/h. Vendu à Olivier HERAULT de St Lary. Il a fait un vol avec et a été enchanté. </t>
  </si>
  <si>
    <t>Delta</t>
  </si>
  <si>
    <t xml:space="preserve"> 3 / 3 / 4</t>
  </si>
  <si>
    <t xml:space="preserve">Essai Ozone Delta 1 de Claire, En C, taille M (PTV 80 -100) du coup avec mon PTV de 91 kg, ça fait une charge alaire de 3,46 kg/m², Allongement à plat 5,8 /  Poids 5,6 kg,  
Avant le vol, j'ai trouvé les branches des élévateurs difficile à manier, car trop fins par rapport à ceux de la Golden, d'ailleur je décolle avec les freins qui passent entre les A et B. Face voile, ça gonfle bien,peut-être un peu lentement. Je retrouve les sensations de la Jedi2, tout en douceur, des commandes assez légères, comme quoi mon à priori des commandes ozones physique était eronné. En terme de prise de commande, d'effort physique et de retour d'info, c'est la meilleur que j'ai essayé jusqu'à maintenant. Le virage est moins bon que celui des autres voiles essayées, plus proche de celui de la Golden, avec une tendance à engager de l'extèrieur, à piloter avec la commande ext. Elle semble très stable en tangage, elle donne les infos qui vont bien en roulis.
Elle m'a semblé un peu lente, j'ai pplus suvent vu sur le GPS des vitesses entre 33 et 35 qu'au dessus. Je pense que du fait de la faible charge alaire ... et peut-être aussi des 350 heures de vol de la voile, elle manque de réactivité, de vivacité, de vitesse. 
Et comme avec la Diamir2, je trouve ces voiles classées EN C, bien facile à piloter, plus que ma Golden4 en tout cas et tr-s rassurante, plus que l'Apolo par exemple. Je vais demander à Thierry de me préter sa delta 2 pour voir .... </t>
  </si>
  <si>
    <t>Louis</t>
  </si>
  <si>
    <t>Quentin</t>
  </si>
  <si>
    <t>Thierry Chastang</t>
  </si>
  <si>
    <t>Thomas, copain rugby de Vincent le stunt</t>
  </si>
  <si>
    <t>Quentin. 
Bilan de ces vols. Les décos ça va à peu près, il faudrait réaliser une montée plus progressive, plus lente. Ok pour le contrôle. Je me suis fait surprendre par les 80 kgs de Thomas.
C'est coét posé que ça ne va pas, je fais souvent une vent arrière trop haute et assez étrangement je suis presque toujours court dans la finale? Il faut que je travaille le point d'aboutissement, je me demande si ça ne passe pas par le regarde, je suis trop sur les obstacles, pas assez sur l'angle de planné.</t>
  </si>
  <si>
    <t>Vol réalisé avec AirOne de Samoens après 1/2 journée de pente école.</t>
  </si>
  <si>
    <t>Ozone Delta 2 (Thierry Damian)</t>
  </si>
  <si>
    <t>Triangle FAI de 40 kms, cagire / Herbes blanches / Col de Larieu. Après un déco raté face voile ou j'ai failli me faire arracher et décoler twisté, j'ai eu du mal à m'extraire du déco, d'abord parce que je découvrais cette Delta 2, ensuite parce que nous étions 4 à tournicoter et que je n'ai pas l'habitude et enfin parceque tout ce début de vol, je n'ai pas compris l'aérologie. Et en effet, je suis parti vers le cagire à 1900 du coté de Paloumère alors que les autres étaient à 2300/2500 et du coup j'ai raccroché Plaède correctement, mais il n'y avait pas grand chose. J'ai cru devoir aller me poser à la Vierge, mais j'ai fini par trouver un petit quelque chose qui m'a remonté à 1700 m environ. Autour du Cagire impossible de dépasser 1800/1900m, l'impression que quelqu'un m'arréter à chaque fois que je pensais y arriver. Au point que j'ai failli abandonner en retournant au dessus de Plaède et là une autre voile m'a bien aider, en particulier quand on s'est retrouvé au Cagire et ou il afoncé dans la face Sud est. Il fallait oser, on s'est fait satelliser dabns du trubulent, mais j'ai enfin atteint le plaf à 2500. Je n'ai pas demandé mon reste et j'ai transité tout de suite pour le retour, j'ai trouvé un nouveau thermique face sud du Picon/Paloumère, puis en survolant les faces sud de Cornudère de nouveau des thermiques face sud jusqu'à Herbes Blanches. Au Realis de nouveau un bon thermique et du coup je suis allé chercher le triangle FAI du coté du Col de Larrieu ou j'ai retrouvé des thermiques.
Il y avait très peu de brise de vallée, c'est un peu comme si les thermiques avaient été alimenté par du vent météo (peut-être par du Sud ?) et il fallait retser en hautes couches sur les faces sud. Eric Daisgrement boucle un triangle FAI de 145 kms, Campan/Maupas/Relais, mais d'autres n'auront pas réussi à sortir ou poser dans la plaine. Dur apprentissage du cross sur le piémont.</t>
  </si>
  <si>
    <t>Essai Ozone Delta 2 En C, taille S (PTV 65-85), Charge alaire 3,9kg/m² à plat et 4,6 projeté. Allongement à plat 6 / Allongement projeté 4,4 / 62 cellules / Suspentage en 2+1 / 3 / 4. Poids 4,7 kg.
La voile est celle de Thierry Damian, elle a 450 heures de vols, je ne sais évidemment pas comment elle était neuve, mais franchement, à part son état ext., impossible de détecter son "âge".
Déco impossible à juger, j'ai décoler face voile et twister, trés nul. Je n'ai jamais eu l'impression d'être au dessus du PTV (+5kg), la voile est douce, réagit aux commandes sur 20 à 30 cms sans beaucoup d'effort, du même niveau que la Diamir 2, je suppose qu'en apprenant la voile, elle est très très bien en thermique. Pas de mouvement de lacet, pas d'engagement du coté ext. comme avec la Golden ou l'Apolo. Par contre moins d'informatrions pertinentes pour centrer le thermique. 
En transition y'a pas photo, ça plane, peut-être mieux que la Diamir 2, mais par contre elle tangue régulièrement, j'ai cru que CT de ma faute, mais Thierry me l'a ensuite confirmé, alors que la Diamir2 est extrèmement stable. 
Sur essai d'oreille asymétrique, elle part nettement du coté ... ouvert, comme la Golden, comme quoi y'a vraiment un truc étarnge, ou alors c'est moi qui  contre involontairement. J'ai essayé qque tangages, elle a comportement étonnant, dans l'abatée, elle semble faire une pause quand elle passe à la vertivale, puis repartir vers l'avant. Mais le tangage est équivalent à la Golden, peut-être plus dynamique que la Diamir2. Par contre elle semble vive en roulis, faudrait ré essayer.
Du coup, la Diamir 2 reste m'a favorite, il faudrait essayer une delta 3, mais elle est encore plus chère que la Diamir ... alors...</t>
  </si>
  <si>
    <t>Gradient Nevada 2 - 24 Light</t>
  </si>
  <si>
    <t>NA</t>
  </si>
  <si>
    <t xml:space="preserve">1er vol d'essai avec la Nevada 2, bons à priori, </t>
  </si>
  <si>
    <t>2ième vol d'essai, lutte à Bourrus pour ne pas aller se poser trop vite. Virage agréable.</t>
  </si>
  <si>
    <t>Déco gravement raté, juste un peu avant l'accident, après retour d'autres pilotes, décolant face à la voile, je n'ai pas temporisé, la voile m'a dépassé, fermeture importante coté droit, peut-être 50%, je m'en sort avec beaucoup de chance. Evidemment le reste du vol n'a servi qu'à me calmer.</t>
  </si>
  <si>
    <t>Déco vent de cul, dos voile, avec bcp d'application, je crois réussi, qques exercices, tangages, début de wing avec frein ext.</t>
  </si>
  <si>
    <t>Plus d'accu au vario, ça fait du bien de voler.</t>
  </si>
  <si>
    <t>Espagne</t>
  </si>
  <si>
    <t>Flux de nord en alt.</t>
  </si>
  <si>
    <t>Découverte d'Ager</t>
  </si>
  <si>
    <t>Flux d'Ouest</t>
  </si>
  <si>
    <t>Beau cross, Ager - Organya</t>
  </si>
  <si>
    <t>Berga</t>
  </si>
  <si>
    <t>Déco de Figuerrassa</t>
  </si>
  <si>
    <t>Monté en C15 avec 2 pompiers du challenge annuel, après une bonne attente, je tente ma chance, mais en vain. Qques exercices, tangages et wings light. L'après midi, montée à Cornudère avec Debis Montperrus, pas volé, trop de vente, mais moment bien agréable de discussion en admirant le paysage et les montagnes.</t>
  </si>
  <si>
    <t>Déco de Cornudère dans de l'Est assez sensible, qques bulles sur la crête en direction du déco d'Herran, puis pompe à Cham, mais je n'y arrive pas, alors que qques minutes plus tard ça le fera pour qques pilotes dont Vince.</t>
  </si>
  <si>
    <t>Front orageux de sud</t>
  </si>
  <si>
    <t>Je profite d'une rotation de Michel qui remonte des chauffeurs pour un derbier vol, peut-être un peu osé avec l'arrivé d'un gord nuage par le sud. Mais je l'ai bien à l'œil et je me pose bien, bien avant touts danger. Joli thermique à Labaderque que je dérive joliment, mais que je perd, essentiellement parce que je pensais que ça le ferait à la pompe à Cham ... et bien non.</t>
  </si>
  <si>
    <t>Tendance sud</t>
  </si>
  <si>
    <t>Montée de la voile d'un coup de scoot, je monte à pied en 1h05 environ, plutot cool. Il n'y a plus de chenille, pyral, sur les buis, et plus aucune feuille sur les buis, quel dommage …. Après un brin d'attente du temps de sécher un peu, je décolle rapidement, un peu parcque une soixatainbe de pompiers sont attendus pour leur challenge annuel, un peu parce que je crains que ça se couvre, ce qui arrivera assez vite. Du coup je tente ma chance, façon banzai vers Chein Dessus ou je trouve qques bulles, mais pas assez pour ressortir. Retour moitié à pied, moitié avec Marc Caussanel.</t>
  </si>
  <si>
    <t>Alpes du Sud</t>
  </si>
  <si>
    <t>St Vincent les Forts</t>
  </si>
  <si>
    <t>Malgrés un fort vent de Beaumont à St Vinecnet, 2 voile sont en l'air quand j'arrive. Ca doit etre le seul endroit en Europe de l'Est ou ca vole. Vraiment étonnant. Bon les conditions sont très limites et un peu spéciales. Après quelque infos glanées sur le déco et comme pas mal d'autres pilotes je me prépare et je trouve un créneau entre 2 rafales, ce qui donne une mauvaise prise de vitesse et une prise en charge assez dégueu....</t>
  </si>
  <si>
    <t>Cette fois c'est l'inverse, pas de vent, pas de brise, alors qu'à Dormillouse, les nuages défilent à toute vitesse. Vraiment quel drole de site. Après un premier fusible inf'ructueux, les conditions se mettent en place et je décolle. Un gros nuage venant tout mettre à l'ombre, je préfère me poser, ce qui en plus m'oblige à travailler l'atéro, qui ici se fait principalement juste à coté du déco. Et il est pas facile.</t>
  </si>
  <si>
    <t>Après une petite attente, tous les pillotes restants décollent, nous devosn bien être une terntaine en vol, ça fait du monde !!! Cette fois, je vais me poser à la plage du camping ou j'ai le CC, trop cool, de plier et de laisser lma voile pour remonter à pied chercher le scooter.</t>
  </si>
  <si>
    <t>Savoie</t>
  </si>
  <si>
    <t>Courtet</t>
  </si>
  <si>
    <t>Flux de Sud-Ouest</t>
  </si>
  <si>
    <t>Malgrés un vent fort annoncé je tente de nouveau ma chance à Monslar. Après le télésiège jusq'uau plateau de Lachau, je finis à pied jusque sur la crête au sud de la Brêche. Comme le veille, le déco à Pascal, sauf que c'est nettement plus fort. Je mange 2 barres céréales vite fait, je me prépare, mais mal, j'ai le sentiment qu'il y a une "couffe "dans le suspentage et je me positionn e dans la gravière, comme la veille. Je prégonfle et en effet, j'ai une suspente qui s'enroule autour du stabilo G. Je remonte la pente, peut-être 50% ? je remets de l'ordre, je me repositionne et je prégonfle, cette fois c'est ok. Je la monte, c'est fort, puissant, je tente de courir, mais comment dans une telle pente, et j'arrive à la temporiser, mais une rafale m'arrache, j'ai juste le temps de me retourner en gérant la sortie, le vario bip fort, mais c'est bon je suis sorti du déco, y'a plus qu'à laisser faire. 9a monte fort, je me décalle vers le nord, vers le fort. 9a tire vraiment fort, je suis contré, c'est de justesse qu'avec oreille et accélérateur je sors de l'ascendence pour trouver un peu de sérénité plus en avant du rellief. Faut vraiment faire gaffe à pas de faire reculer dans le nuage. Après 2 A/R le long du relief, j'ai bien compris la situation, dés 2400m je suis contré fort en Ouest, j'ai à peine 10/15 km/h au GPS. Assez vite je décide d'arréter les fraisn et je pars ( à l'allure d'un escargot) vers l'Ouest. J'ai plutot du mal à descendre, mais sans affolement, je cherche les zones qui descendes et je retrouve l'atéro plutot serienement même si le vol n'a pas été des plus plaisant. Trop de vent.</t>
  </si>
  <si>
    <t>J'ai migré vers le nord, direction Grenoble et le topo guide m'emmène à Courtet, à coté de Mens à 50kms environ au sud de grenoble. Assez vite je comprends que je retrouve cet atéro fréquenté une quinzaine d'années plsu tot au cours d'n stage cross avec G. Delorme et surtout Marc Chaumont. Que démotions !!! Je monte à pied au déco, par la piste normale, ça le fait bien. Je reconnais le déco, à l'époque il y avait beuacoup moins d'arbres. Je me prépare assez vite, il ne fait pas beau, plein de nuages, il pleut au loin vers le vercors, mais une fois prêt, plus de vent.Ce bn'est qu'une bonne demi heur plus tard que je décolle. J'espérais voler 10', j'ai tenu une heure, à gratter contre le relief et les falaises, un peu à la limite des nuages dont la base était vraiment basse. 15 ans pkus tot on était à 2700m ou plus avec Gérald qui nous amenait vers un cros somptuenuix vers le col de Lus la Croix haute.... Froid aux mains évidemment, je suis presque satsiafit de ne plus rien trouvé et d'aller me poser.</t>
  </si>
  <si>
    <t>Enfin, j'ai réussi à reprendre après avoir réta les premiers créneaux …. Déco face voile, et après retournement et légère correction de trajectoir, je sens le bout gauche de l'aile qui ferme ! Mais la suite ce passe bien ! 2 tours devant le déco et  transistion vers Bourrus où 3/4 voiles tournicotent. Michel De la huerta est déjà à Soulan ! Comme ça n'a pas l'air de vraiment monter là bas, je reste et profit de Bourrus avec 1200 de plaf. Ensuite le reste du vol je fais 2 A/R vers le Moutagnat, les plafs augement jusqu'à 1600, du coup j'en profite pour alle vers Pisactel ou je retrouve un thermique bien sympa qui me remonte jusqu'à hauteur de la crête, mais je n'arrive pas à trouver un thermique face sud... dommage. Après un dernier plaf dans la pompe à Cham, je vais au col d'Arbas et demi tour avec un bon 10 kmh d'ENE. Brise assez forte et surtout qques bulles à l'attéro. Pliage rapide, personne pour me remonter jusqu'à ce que Michel fasse une navette (il a volé 3h15) et retou à Colomiers ou Loulou m'attend et oui c'ést la première fois que j'ose aller voler alors que j'ai Louis en garde....</t>
  </si>
  <si>
    <t>Essai ITV JEDI 2, En B, taille L (PTV 95 -120) du coup avec mon PTV de 91 kg, ça fait une charge alaire de 3,27 kg/m², Allongement à plat 5,7 / Allongement projeté 4,5 / Longueur cône suspentage 6,5m / Metrage suspentes ? m / 55 cellules / Suspentage en 2 / 3 / 2. Poids 4,5 kg, Toutes les caractéristiques techniques sont pour moi au vert, sauf le PTV suite erreur de l'importateur à qui nous avions demandé une M. Je ne m'en rendrais compte qu'une fois posé au moment de plier avec l'aide de Pierre ou on s'est dit qu'elle ressemblé à un Bi place... 
Avant le vol, j'ai trouvé les élévateurs un peu compliqué avec 2 "A" à 1 suspente, je suppose pour les oreilles. Mais après quelques "noeuds" je finis par m'en sortir. Les suspentes sont gainés jusqu'en haut, on se demande pourquoi, habituellement seules les basses sont gainées. Ca gonfle très bien, très facilement. Alors que je ne savais pas que C T une L, je me souvien bien m'eêtre dit qu'elle étais très douce, trés veloutée. Je me suis aussi dit qu'lle n'avançait pas beaucoup mais que les conditions du jour ne permettais pas de certutitude, avec du N et une bonne tendeuse orageuse sur la chaine qui se confirmera. En fait je me suis régalé, une véritable monde de douceur. En plus un vautour m'a montré la voie du coté du Col de Larrieu, je l'ai vivement remercié en vol, suis pas sur qu'il est vraiment compris ma gratitude ... que du plaisir. Au retour d'Herbes blanche, le ciel devenat menaçant, j'ai forcé l'allure, accéléré o fond, certs ça n'allait pas très vite, mais encore une fois, le ciel était bien noir derrière moi. Du cou, j'en ai profité pour essayer oreilles + acc., elles flappent ppas mal, mais c'est tenable, contrairement à la Diamir 2. Arrivé haut au dessu sd'Arbas, j'ai envoyé de bon 350 ... enfin à mo niveau, waouh la sortie, comment dit on "aérienne". Mais en tout instant du vol, elle m'a donné confiance, aucune fermeture, RAS sur toute la ligne. Si Thierry se debourille avec ITV, j'essaireai bien la M (PTV 80-100), je suis à 91. Mais je crains que les commandes deviennnet trop physique, là avec la L c'était limite pour moi. A suivre avec une M ???</t>
  </si>
  <si>
    <t xml:space="preserve">2ième de la série, même itinéraire, mais avec une voile étonnante, Une Little Cloud, Goose MK3. Très légère, un cone de suspentage de 4,5m, 23m² de surface, descendente de la Spiruline en version "cross" et en effet elle sait faire. Des commandes géniales, en prise direct avec la voile, un piloatge aux arrières également super. Elle se compporte comme si les bouts d'ailes étaient indépendant de la partie centrale, qui est très robuste alors que les bouts d'ailles renvoient des espèce de coups de "raquette" pas très agréable et inutile à la compréhension de la masse d'air. Des timides essais de tangage montre une grande stabilité, elle semble envoyer grave en wings. </t>
  </si>
  <si>
    <t>Air Cross</t>
  </si>
  <si>
    <t>U Cruise</t>
  </si>
  <si>
    <t>Sigma 10</t>
  </si>
  <si>
    <t>Antichan</t>
  </si>
  <si>
    <t>Dorsale 1025 Hpa, situation pré orageuse</t>
  </si>
  <si>
    <t>Début anticyclonique 1030° Hpa</t>
  </si>
  <si>
    <t>Je pars comme 15 jours lus tot, vers l'Ouest, poussé par une tendance Est, je pensais aller le plus loin possible, mais arrivé au Saqueton, je trouve la météo trop menaçante et le relief devant moi, un choouilla hostile, du coup, je prends plein N vers la plaine pour me dégager, pensant à chaque fois aller me poser, je réussi à me refaire, jusqu'à un point bas en plein milieu de la vallée de la Garonne ou  je reprends 2/300m qui me suffise pour raccorcher sur la face NO du Pic de Gar, mais elle est trop brossée par la brise, turbulente, pas saine et après 2 tentatives, je me laisse glisser vers Antichan. Retour un peu stop et surtout Thirry Damian qui vient me chercher.</t>
  </si>
  <si>
    <t>Réveiller fatigué le matin, je ne suis jamais dans le coup, j'ai du mal à ma positionne Vs ascendances, l'impression d'être toujours contré, arrivé au Pic de Gar un peu après les gunners, je préfère revenir proprement à Arbas et après qques rudes luttes contres les vents contraires, j'y parviens. Je me force à qques exercices .... chauds et limite craignos !</t>
  </si>
  <si>
    <t>Première tentative de B. 9a ce passe pas très bien, certs ça descend, mais la voile bouge dans tous les sens, au relaché je ne sais pas bien ce qui ce passe, mais elle cravate à G. Ce qui est pas plus mal puisque c'est la première fois que ça m'arrive. Je maintiiens le cap sans problème, je décravate avec la suspente de stabilo et du coup j'enchaine avec 2 exercies de fermetures asymétrique D puis G, avec maintien du cap. Puis ensuite 2 séries de 360 plutot bien réussie.</t>
  </si>
  <si>
    <t>Nevada 2</t>
  </si>
  <si>
    <t xml:space="preserve"> 2 / 3 / 2</t>
  </si>
  <si>
    <t>NC</t>
  </si>
  <si>
    <t>Baronnies</t>
  </si>
  <si>
    <t>Séderon - Bergiès</t>
  </si>
  <si>
    <t>Séderon - Buc</t>
  </si>
  <si>
    <t>Haut vallée Jabron</t>
  </si>
  <si>
    <t>Séderon</t>
  </si>
  <si>
    <t>Attéro du Fort</t>
  </si>
  <si>
    <t>Flux de Sud</t>
  </si>
  <si>
    <t>Flux de Nord</t>
  </si>
  <si>
    <t>Alors que le groupe de Profilien s'est posté sur le déco N, je choisi le S et décole rapidement. Des Vautours m'indiquent le pompe de service, au niveau de la cassure de la crête Est, celle qui descend à Séderon. Il me faut 2/3 tentatives pour prendre le bon thermique qui me monte vers 1900. Je tent eplein Sud, très contré, je fait demi tour au niveau du col de Macuègne. Je poursuis mes dvagations vers le SE, je trouve une pompe pour 1800m qui me permet de traverser la vallée vers l'Est pour la crête au Nord du col de la PIgière qui est la route vers Sisteron par la vallée du Jabron. Je reprends et perd un thermique sur le fond du cirque de la montagen de Palle, dommage, car ensuite je ne trouve plus rien sur la face Sud et je me pose à environ 2kms du col de la Pigière, où; remonté à pied, un ancvien deltiste de plus de 80 ans me prend en stop pour Séderon.</t>
  </si>
  <si>
    <t>Il aurait fallu un déco Est, celui du Sud est trop travers, et celui du Nord pas alimenté. Une école nous ouvre le vol et je décolle parmis les premiers. Je trouve un bon thermique très confortable qui semble déclencher des champs bcp plus bas en vallée. à 2000m environ je pas vers le Sud mais je revisn plus vite que le vol précédent. Bien contré, je reviens vers la crête O/E de Bergiès ou je suis nettement sous le vent. Je comprends peu à peu d'où ça déclenche, c'est assez étonnant de jouer dans ce léger flux de Nord et sous le vent. Je reprends un bon 2000, rejoins par 2 pilotes sous Mantra6 et Peak4, comme quoi ... Par contre dés qu'ils partent plein Nord, je reste scotché sur place, je tente donc une voie Est, vers la crête de Serrières que je rejoins bien bas. Coté Nord je ne trouve rien et il est vriament temps de revenir vers Séderon. Je trouve un thermique au petit cole juste avant Séderon que je dérive patiemment et je regagne 300m? Entre temps j'ai vu Thierry se poser pas loin, ne trouvant plus rien je le rejoins, nous sommes à 500 m du camping, cool.</t>
  </si>
  <si>
    <t>Le groupe part pour le déco du Fort, je prfère aller en scoot à la pente école du Buc depuis laquelle en 30/45' je suis au déco dit de la Tannière, orienté Est, sur la crête N/S de la montagne du Buc. Je décole vite car j'ai peur que la brise baisse et effectivement, peu à peu elle laisse la place à de l'activité thermique. Je réussi à grimper peu à peu que la crête jusqu'au sommet, je parcours cette crête plusieurs fois et je finis par comprendre que ça déclenche mieux au niveau de la Girouette ou juste sur son coté amont. Je prends un bon 1750 et comme j'ai lu quelque part que c'est vers la Nord et le Fort que ça le fait je tente la transition, mais j'arrive trop bas et malgré une dernière lutte, je vais me poser à l'attéron officiel. Bien mal posé d'ailleur, il mes emble pour un problème de mauvaise approche avec un dernier virage trop bas. Ca ce finit bien, mais c'est vraiment pas propre du tout; beuhhhhhh.</t>
  </si>
  <si>
    <t>Surface projetée</t>
  </si>
  <si>
    <t>Delta 3</t>
  </si>
  <si>
    <t>Elan 2</t>
  </si>
  <si>
    <t>CH. Alaire à plat</t>
  </si>
  <si>
    <t>CH. Alaire proj</t>
  </si>
  <si>
    <t>Aplat.</t>
  </si>
  <si>
    <t>Surf. à plat</t>
  </si>
  <si>
    <t>Surf. Proj.</t>
  </si>
  <si>
    <t>Exos</t>
  </si>
  <si>
    <t>70 / 95</t>
  </si>
  <si>
    <t xml:space="preserve"> 2+1 / 3 / 2 / 2</t>
  </si>
  <si>
    <t>Anticyclonique tendance orageuse</t>
  </si>
  <si>
    <t>Un vrai régal, de la sortie du déco sensible et délicate, jusqu'au dernier thermique repris à 670m au dessus de l'attéro et laché à 1400m au dessus de Labaderque, tous les vols devraiennt être comme celui là, du pur bonheur. Sauf un très bref et très intense moment de frayeur, lorsque, du coté du col de Larrieu, j'i vu m'arrivé bien sur ma trajectoire un A400M ! Il a du ma passer 150m au dessus environ, j'ai vite fait pris la tangente de peur de la trainée ... mais rien, ouf ! Mais quel beau vol !!!</t>
  </si>
  <si>
    <t>ITV Jedi 2 - L</t>
  </si>
  <si>
    <t>J'essaie cette Jedi 2, avec laquelle je commence par m'emméler les pinceaux, euh les suspentes. Ensuite c'est un vrai régal… voir CR essai. On vole un petit bout de temps avec Dominique et Pierre que nous "perdons" du coté de pènne Blanque. Ensuite on se fait le nuage à Pène Nère et transition vers Le Col de Larrieu. Je trouve, ou plutot un vautour me montre un thermique à mi distance et alors que Domi s'enfaonc je refaits le plaf. Bien m'en pris, je fais la vertical du Col et reviens sur mes pas. Domi malgré un beau combat se posera sur la Rte du Col à Arbas. Je reprends un reste du thermique de l'aller et rallie Pène Nère facilement. Ensuite j'irai jusqu'à Herbes Blanches en prenant mon tempss et avec bcp de plaisir. Je tente un posé à CXornudère, je suis 2 m trop haut, tant pis, je m'approche, je finirai bien par y arriver. Je hate le retour vers l'attéro car les cums sont de + en ° menaçant. Ca me permets d'essayer accélo à fond, 360 et autre oreilles accéléré et uen fois posé et alors que Pierre me donne un coup de main, on se dit en même temps que cett voisl parait bien grande .... et pporu cause c'était une taille L PTV 95 - 120....</t>
  </si>
  <si>
    <t>Essai Sky paragliders Apolo, En B, taille M (PTV 74-94), Allongement à plat 5,5 / Allongement projeté 4,2 / Longueur cône suspentage 6,9m / Metrage suspentes ? m / 55 cellules / Suspentage en 2+1 / 4 / 3. Poids 4,6 kg, Toutes les caractéristiques techniques sont pour moi au vert.
Le 09/05, essai en // avec Thierry qui vole sous la Diamir2. Un premier très bon point, le poids, 4,4 kg, c'est 300g de moins que ma Golden et pareil que la Diamir2. Elle est livrée avec un sac chaussette, c'est la première fois que j'en utilise un, c'est vrai que c'est bien cool à utiliser.
1er contact ok avec la voile, suspentes basses gainées, les élévateurs sont quand même bien fins… dommage qui ne s'élargisse pas au niveau des maillons. Les poignées de freins sont accrochées par une pression, la prise en mains des commandes ne pose pas de problème. Il s'agit de poignée souple, mais avec un gadget qui va s'avéré interressant en vol, une petite palette rigide basculante qui se cale entre pouce et index et qui donne une prise de commande précise. Par contre ça fait plus travailler les mains, d'ou fatigue, mais rien n'empêche alors de reprendre la position dragonne. 
Coté suspentage, le démélage est fluide et simple. Déco face voile trés facile, très léger, presque aérien. Je me permets même de temporiser la voile au dessus de ma tête après m'être retourné, du caviar... quoique je n'en ai jamais gouté... 
En sortie de déco, grosse surprise, j'ai l'impression d'avoir un gun au dessus de la tête quoique je n'en ai jamais piloté non plus, mais elle réagit très vite, elle est d'une légèreté aux commandes que je n'avais pas rencontré sur les voiles essayées précédemment. Beaucoup de mvts de roulis retransmis à la sellette. Tout le début du vol a été assez perturbé à cause de ça. Puis peu à peu, je ne le ai plus senti comme une gène, au profit d'une qualité de virage et d'une précision de commandes assez génial. Aucune fermeture à signaler pendant les 1h40 de vol. C'est bien la conception de la voile qui donne des bouts d'ailes sensibles qui donnent bcp d'infos (peut-être trop...) mais qui permettent certainement la qualité de virage et la "délicatesse" des commandes. Avec du recul ça me rappelle les commandes de mon Aspen 1er du nom.
En thermique, j'ai fait aussi bien que Thierry ou qu'une delta 2 ou que Tim avec sa Mantra, et comme ils sont tous bien meilleur pilote que moi, c'est que l'aile est facile.
En transistion, on a fait 3/4 bonne longueur de comparaison, la Diamir2 est mieux, il me semble en particulier dés qu'il faut un chouilla de vitesse en plus en début d'accélérateur ou quand c'est un peu turbulent... le fameux "floating" ? 
Coté accélérateur, c'est très, très doux également, la course est plutot faible, en tout cas plus que sur ma Gilden ou que la Diamir. Il me semble que dés qu'on accélere, la finess se dégrade, je pense que cest moins bon que la Diamir2.
Mais il faut bien que 0,6 points de finesse fassent la différence quelque part. Pour l'instant à choisir je resterai sur la Diamir2, un peu pour les perfs mais surtouts par la gestion globale plus facile en vol, je suis sûr que sur plusieurs heures de vols, la Diamir2 est moins exigeante.</t>
  </si>
  <si>
    <t>Flux de sud en altitude, régime d'autan</t>
  </si>
  <si>
    <t>Avec le changement d'horaire, j'inaugure le scooter pour monter au déco. Pensant faire un plouf du matin, ça mnte de vant le déco, après qques exercices (qui inquiètent au déco…) et comme ça monte et bien … j'enroule jusqu'à 2000 environ, je bascule sur les faces sud de Cornudère et je prends 2600/2700, mais quel froid ! Je pars vers l'ouest, un peu contré, mais pas tant que ça, un peu après Paloumère je renonce au Cagire et je reviens vers Cornu, puis direction Herbes blanche et retour attéro. Je pose quand le gros des pilotes décollent et trouvent d'ussi belle conditions, Michel de la Huerta allant au Pic de Gar et retour, un autre Pic de Gar, Moulis et retour, quasiment 70 kms. Etonnantes conditions en sud, mais attention quand même le jour ou ça forcira !!!</t>
  </si>
  <si>
    <t>Rest de flux de sud, retour d'Est</t>
  </si>
  <si>
    <t>La journée s'annonçait très bonne, elle le fut. On est même arrivé un peu tard… Thermique dés la sortie du déco, La husse puis la crête à l'O qui donne bien 1900 m deplaf pour être tranquille au Cagire. Direction l'ouest, ou je rame longtemps pour sortir d'une combe, mais quelle satisafction... merci aux oiseaux locaux, après c'est facile jusqu'au Gar ou sa secoue pas mal et 2500 m de plaf au vent du nuage et donc bien au dessus de sa base. Je suis toute la crête jusqu'à l'Escalette, aprs hésitation je passe par le  N et j'ai bien du mal à revenir au thermique du plateau ou je me mets en effet bagnard par 2 fois avant d'enfin réussir à sorti bien aidé par les voiles dans le secteur. Bonne transition vers Paloumère ou je prends bien un thermique devant les crêtes, mais je n'insitse pas assez, alors que des voiles me montrent que ça monte et je quitte le thermique à 1800m environ, trop contré, je ne retrouve rien à Paloumère, rien au Picon, je vais ma poser à Sengouagnet, beaucoup véxé, mais une fois passé, je suis très très content de ce premier vrai cross depuis ma reprise.</t>
  </si>
  <si>
    <t>Flux de sud pression en hausse</t>
  </si>
  <si>
    <t>Vol de l'après midi… Je décolle hors cycle, mais j'arrive à me refaire en bas de la crête sous le déco pour un premier bon plaf. Les suivants, resteront dans ce therùmique et bacsuleront directement sur les faces sud. Avec le retourd 'Est, j'aurai du rester là aussi, alors que je vais à La Husse ou ça ne monte pas. Je fini par trouver bien plus devant, vers l'Est. Je transite directement pour Herrab ou je rame un bout de temps avant de comprendre que la aussi ça monte très décaler vers le NE. Je raccroche sou Piscatel ou le mazègue avec Antoine, il sort, je fais un virage de trop et je le perds. Mais c'est plutot mieux pour moi, car en décalant vers le déco d'Herran, je trouve un bon thermique qui me décale peu à peu sur la face sud pour presque 2000m de plaf. J'enchaine la crête jusqu'à Herbe blanche et un peu lus dans de bonne turbulences, le mélange du vent de sud et des sommet de thermique je suppose. Je n'ose pas pousser plus loin vers Cazavet... ce sera pour une prochain. Je reviens par le relais, je ne trouve plus rien et je vais me poser. Vers le relais, là aussi, j'aurai du chercher plus sur l'ouest du relais.... Bref je ne prends pas assez enn considération les "vents", Brise/Métao basse couche/Météo d'altitude.</t>
  </si>
  <si>
    <t>Dorsale 1025 Hpa</t>
  </si>
  <si>
    <t>Avec les pluies des derniers jours et le flux de NE, le ciel se couvre à cause d'étalements. Je prends assez facilement le thermique du déco qui me dérive quasi contre Cornudère, mais Tim étant en train de sortit lui aussi, je vien me caler au dessus de lui et je fais bien, je fait le plaf et un peu plus... oreille + Acc, et je transite vers la Ppe d'Herran, alors que Tim transite vers le relais. Je ne trouve pas grand chose, du coup, je rejoins Thierry à la Croix de Gueret ou je prends une ascendence qui me monte jusqu'à hauteur de la crête et que je quite car il aurait fallu  basculer face sud pour continuer. Je glisse jusqu'à Piscatel... Rien. Je transite vers la ppe à Cham qui est de nouveau au soleil et bingo, 1700m dans le nuage. Re Oreilles + Acc. Je rame au Relais pour trouver quelque chose, finalement et pour la première fois je trouve le thermique. Vers 1450, je tente vers Castelbiague, mais bcp contré et ne trouvant pas une vraie pompe, je reviens vers Arbas et je me pose à Barrat. retour à pied, je laisse ma voile chez la femme de Laurent et 1h20 plus tard je suis au déco pour récupérer ma voiture.</t>
  </si>
  <si>
    <t>Bien sûr il est trop tard, mais un brin d'air me premets de faire qques gonfflage au déco et un vol plein de douceur….</t>
  </si>
  <si>
    <t>80/100</t>
  </si>
  <si>
    <t>DHV 2</t>
  </si>
  <si>
    <t>3 / 3 / 4 / 2</t>
  </si>
  <si>
    <t>Windtech</t>
  </si>
  <si>
    <t>85/105</t>
  </si>
  <si>
    <t>75/100</t>
  </si>
  <si>
    <t>2 + 1 /4 / 3 / 2</t>
  </si>
  <si>
    <t>90/107</t>
  </si>
  <si>
    <t>DHV 1-2</t>
  </si>
  <si>
    <t>3 / 4 / 3 / 2</t>
  </si>
  <si>
    <t>3 / 3 / 3 / 3</t>
  </si>
  <si>
    <t>2 +1 / 4 / 3</t>
  </si>
  <si>
    <t>Astral (1999-50h)</t>
  </si>
  <si>
    <t>Epsilon 3 (2000-75h)</t>
  </si>
  <si>
    <t>Quarx (2001-2002 - 65h)</t>
  </si>
  <si>
    <t>Serak (2003 - 35h/an)</t>
  </si>
  <si>
    <t>Aspen 1 (2004-2010 - 30h/an)</t>
  </si>
  <si>
    <t>Golden 4 (2015-2017 - 50h/an)</t>
  </si>
  <si>
    <t>Jedi 2</t>
  </si>
  <si>
    <t>Antéa 2</t>
  </si>
  <si>
    <t>NOVA</t>
  </si>
  <si>
    <t>Mentor 4</t>
  </si>
  <si>
    <t>V light 3,75 kg</t>
  </si>
  <si>
    <t>Luberon</t>
  </si>
  <si>
    <t>Montfuron</t>
  </si>
  <si>
    <t>Anticyclonique avec très léger flux de Sud</t>
  </si>
  <si>
    <t>En marge d'une période de Mistral</t>
  </si>
  <si>
    <t>Monté à pied depuis Cabrière d'Aigues en ayant monté préalablement la voile au carrefour deschemins forestiers au pied du sentier. Arrivé vers 11h, j'ai le temps d'admirer le paysage, de "lire" la carte coté Nord, de manger mon sandwich et même de faire une cht'ite sieste. Peu à peu des bouffes de vent s'organise, c'est marrant, elles viennent d'abord de l'Ouest, puis passe au Nord. Un peu avant de décoller, 2 corbeaux/corneilles, puis quelques hirondelles m'indiquent que le thermique est sur la G du déco. J'ai un peu de mal à gonfler, mais à la 2ième tentative, c'est parti et en effet, tout de suite je trouve une bonne pompe qui en 2 ou 3 fois va me monter vers 1900m. Je pensais trouver du Sud, je trouve de l'Ouest bien marqué, du coup je suis la crête. Je trouve un 2d thermique un peu avant Vitrolles, là aussi en 2 fois, en revenant franchement vers l'Ouest après mettre trop fait décaler. A moins que ce soit 2 cycles différents. De nouveau 1900 m, je continue vers l'Est, mais je ne trou plus rien et je me pose juste à coté de Montfuron. Il devait y avoirs un bon thermique dans le coin, car 2 faucons crécerelles dérivées devant moi, la zone était pas vraiment saine et je fais une finale dans un gradient fort et je me "cratérise" à moitié. Je pense qu'il devait déclencher ^plus au Nord de la crête, plus du coté de l'ancien terrain de cross. Mais pas de rgret, j'ai tenté, j'ai pas trouvé et je suis posé dans un beau champ, ce qui n'est pas gagné dans ce coin. Et puis enfin, a^près tant d'années, faire un vrais petit cross dans mon pays, à décoder tous les villages à mes pieds pendant le vol, quel plaisir !!!</t>
  </si>
  <si>
    <t>Malgrés une prévi de vent assez fort, j'ai quand même fait le déplacement. En effet le vent était là, plutôt NO, probablement 15 kmh, ce qui mixé avec de puissants thermiques ont fait un vol AGITE et pas très sain. Je me prends 2 fois une grosse fermeture coté Dr, bien contré sellette + Cde à chaque fois, mais quand même ! Je fais quand même l'A/R jusqu'au bout de la crête 'Mtgne de l'Allier" jusqte avant la cassure de Lambruisse. Sur le retour, je comprends que la brise venant du lac n'a pas pas pris le dessus, bien au contraire, je vois 2 voiles se poser, l'une juste au vent des arbres en fond de terrain, et l'autre carrément sur une gravière en rive G du Verdon. Je fais ma descente façon Luchon et tout ce passe bien, avec un fort gradient de vent.
A noter, nus n'étions que 2 pour la navette, du coup, on est monté avec ma voiture que je suis remonté chercher à pied en environ 1h30 depuis l'attéro officiel. Sauf 2 coup de cul, le sentier qui part juset avant le col de la rte St André - Moriez est facile.</t>
  </si>
  <si>
    <t>Flux de NE - Vent 10kmh</t>
  </si>
  <si>
    <t>Ferm asym. D + G avec élévateur complet, La voile n'a pas vriament de réaction, la réouverture est longue.
Oreilles + Acc. grandes Oreilles en reprenant la suspente, mais ça glisse c'est pas tenable.
Tangage, ça y est je maitrise, mais la masse d'air est turbulente….
360 D et G, avec mise en virage après cadencement, ça descend bien, pas de problème physio.</t>
  </si>
  <si>
    <t>Je rate le thermique en sortie de déco, avec bcp de prudence je trouve un thermique à Bourrus, puis en me décalant vers Pène Blanque, de bonnes ascendances jusqu'à 1750m environ. Je ne sens pas trop la Husse avec ce NE, du coup je transite vers Cornudère et en 2/3 fois j'atteind un peu plus que le niveau de la crête. Mais je n'arrive pas à vraimen sortir et ce sera comme ça jusqu'à Herbes Blanches, il semble que les thermiques sont trops balayés au dessus de la crête. Malgrés le NE je passe par le déco d'herran  et sous le vent jusqu'à Piscatel, ça descend beaucoup mais ce n'est turbulent du tout. Après Pisactel et jusqu'à Herbes Blanches c'est bcp plus facile, un peu contré, mais ça monte réguklièrement. Je trouve une bonne ascendence devant Herbes blanches, mais je l'exploite mal. Je reviens facilement par la crête. Ensuite plein N pour la pompe à Cham qui avec beaucoup de dynamisme me propulse à 1900m. Mais je me gèle vriament + onglet terrible, je laisse glisser plein nord pour descendre et trouver de la chaleur. Quel douleur cet onglet !!! Après un virage plein O au relais, je file direction Soulan, ou avec prudence je retrouve une espèce d'ascendence qui me permet de transiter vers Bourrus en zérotant. A bourrus je trouve un thermique à peu près sain pour 1300m environ. Sur le retour ça monte partout, c'est assez étonnant, je trouve juste une zone descendante vertical terrain d'attéro, sinon ça bip. Pas mal d'exercices en cours de vol. Bien... ça avance !</t>
  </si>
  <si>
    <t>Durée cucmulée</t>
  </si>
  <si>
    <t>Triple seven</t>
  </si>
  <si>
    <t>85 / 103</t>
  </si>
  <si>
    <t>78 / 100</t>
  </si>
  <si>
    <t>Little Cloud Gouse</t>
  </si>
  <si>
    <t>Nervures Diamir 2 S</t>
  </si>
  <si>
    <t>1er vol d'une série de 3 qui vont aller crescendo. Pour ce 1er, A/R Pic de Gar - Herbes blanches. Les conditions spont bonnes, mais je fais 2 erreurs, l'une au retour entre Cagire et Picon, ou je suis juste et je dois forcer le passage sous le vent de la cête Picon-Paloumère (il faut d'abord avancer vers le N, puis revenir dans la brise), l'autre ou en choississant de passer par le col de la Husse ou je passe ppourtant facile, je me fais dégueuler un max juste après. Heuureusement je n'insiste pas en direction de Soulan, mais je m'appuie sur la droite, cpntre Pène Blanque.</t>
  </si>
  <si>
    <t xml:space="preserve">  </t>
  </si>
  <si>
    <t>Le 3ième est parfait, mon plus beau vol, voir récit en PJ. La Diamir 2 est une merveille, mais je manque de référence. Je ne lui trouve que 3 défauts, Les élévateurs et les commandes snt merdiques avec des fixations magnétiques qui compliquent tout (mais Thierry Damian m'a dit que sur celle qu'il avait reçu i y avait des fixation mécnique classique) et les oreilles qui semblent à prohiber et qui réouvrent difficilement. A réeesayer absolument si envie d'achat, mais le prix est très élevé.</t>
  </si>
  <si>
    <t>Essai</t>
  </si>
  <si>
    <t>Aspen 6</t>
  </si>
  <si>
    <t>70-90</t>
  </si>
  <si>
    <t>3 / 3 / 4</t>
  </si>
  <si>
    <t>Nervures Toubkal</t>
  </si>
  <si>
    <t>Apolo Sky Paragliders</t>
  </si>
  <si>
    <t>Premier vol pour Louis et reprise pour moi après des années. Coté sensation Louis a eu un peu peur au début, des mouvements de la sellette, de la hauteur, du vide, mais il s'est très vite habitué. Coté Vol je ne fais aucun contrôle visuel en dos/voile et on ne rentre pas dans le terrain</t>
  </si>
  <si>
    <t>Du 700 cette fois, face voile, un peu arraché, mais correct. Louis est vite malade en essayant de monter, du coup on rentre assez vite, mais pas assez, il vomit juste pendant la final …. Qui était encore une fois trop courte hors terrain. Va falloir travailler la précision en Bi, j'avais oublié le cooté camion plombé!
Le bilan pour Louis est quand même très positif et il veut recommencer....</t>
  </si>
  <si>
    <t>Essai de cette Apolo en vol quasi tout le temps avec Thierry S. Voir CR dans l'onglet "Comparatif voilles"</t>
  </si>
  <si>
    <t>Allongement projeté</t>
  </si>
  <si>
    <t>Navette avec Claire, Laurent et leur fille Elise. J'arrive au 700 vers 11h. Il n'y a que 2 deltas en préparartion. Je me pré^patre doucement, le monde afflue peu à peu. Vers 12h je commence à trouvé le temps long, pas grand monde se bouge. Entièreme,t équipé sur l'arrière du déco, je me fraie un passage vers le milieu du déco, une voil vient de décoller elle prend tout de suite une bonne hauteur. Une seconde voile prend un peu de temps pour décoller, je décolle en 3. Bien m'en a pris ensuite se sera la foire, les deltas, trop de pilote hésitants, puis la brise qui rentre, certains devront aller décollé au 600. Je trouve en sortie du déco une première ascendance, un tour dedans pour être au plus haut sur la crête et je trouve très vite le vrai thermique qui me monte à 2550m. Une branche vers le N, à hauteur d'Avajan, retour vers le déco, re 2500, direction Vla Louron. Des voiles sont déjà partis vers l'Est, je préfère prendre mon temps, il est tôt. Je traine sur les crêtes au S de Val Louron aux alentours de 2700m; c'ets magnifique, tout le bonheur du parapente ! Je transite vers le val d'Aube, j'arrive haut et retrouve tour de suite un gros thermique. je fais 2 A/R  Cap de Pâle /Cap des Hittes, mais je ne me sens pas de basculer vers le Céciré. Laurent B. me dira plus tard qu'il y est allé, et revenu avec un peu de difficulté. A 2800m ou presque, je prends plein N, à cheval sur la crête Cap de Pâle, gros thermique à Mont, puis PIc du Lion. Je décide d'aller vers le Mt Née. Pas facile.... Pousser par du Sud, les crêtes au SO du Mt Née ne pas bien fréquentable, je me prends une grosee fermeture, je rame plus qu'autre chose, je repars vers le NE, bien contré au début, je touche enfin la brise et raccroche sur la crête à l'E du Lion en dir d'Arreau, je remonte vers Val Louron, je n'exploite pas bien 2/3 ascendances, faut dire que je suis quand même +ou- sous le vent et je fini par me poser à 2kms de l'attéro juste au N du chateau de Génos dans une brise bien établie. Un pilote fera comme moi juste après. Très très beau vol !!!!</t>
  </si>
  <si>
    <t>Découvert de Floirac, après être passé au Roc Nord (déserté…). Des voiles en l'aire, un coup de chance qu'une navette me monte et après une bonne demi heur à m'imprégner des cycles entre très forts et forts, je me décide. Voilr bien préparé, après qques minutes de patience, je choisi mon créneau et hop, c'est parti. Ca monte tout seul, faut dire qu'il va y avoir des 100 et 150 kms ce jour là. Mais le repas de midi passe mal et ça bouge pas mal, alors au bout d'une cinquantaine de minutes je veux me poser, mais .... ça monte partout. Après une bonne vingtaine de minutes à batailler j'y arrive enfin, l'estomac au bord des lèvres ! Pas grave, j'ai réussi mon option de venir dans le nord et la région est magnifique, visite du goufre de Padirac (Bof), Rocamadour tot le matin, le marché ayu formage, ça commence à être bien, et surtout plein de beaux endroits.</t>
  </si>
  <si>
    <t>Golden 4 24</t>
  </si>
  <si>
    <t>Sud-Est</t>
  </si>
  <si>
    <t>Grande stabilité</t>
  </si>
  <si>
    <t>Régime instable de NO</t>
  </si>
  <si>
    <t>Instable avec vent météo de NO</t>
  </si>
  <si>
    <t>Arrivée en début d'après midi, je pensais que ce serait trop fort, c'est li'nverse et ce n'est qu'en fin d'après midi qu'il y a un cycle un peu plus généereux. Posé impecc à l'atéro du bas.</t>
  </si>
  <si>
    <t>Régime instable d'O</t>
  </si>
  <si>
    <t>Un peu faiblard, juste de quoi tenir et en même temps gros cum énorme et grossissant du coté sud.</t>
  </si>
  <si>
    <t>Mieux que la veille A/R jusqu'aux antennes, et retour attéro par crainte de gros cums bien noirs qui en effet finiront en orages plus tard dans l'après midi.</t>
  </si>
  <si>
    <t>Wings légers, 360 idem.</t>
  </si>
  <si>
    <t>Rien compris à la façon de faire pour rester en l'air, le vent venant assez fort et de la droite de la crête cisaillait les thermiques et je n'ai pas su faire? Pas bien grave, vol bien géré, dont attéro en vent météo et bien sûr gros gradient.</t>
  </si>
  <si>
    <t>Une trentaine de minutes de gonflage au déco avant le vol.</t>
  </si>
  <si>
    <t>Plaine Sud Ouest</t>
  </si>
  <si>
    <t>O - NO 20/40 kmh</t>
  </si>
  <si>
    <t xml:space="preserve">O - NO </t>
  </si>
  <si>
    <t>Trop fort pour moi au décollage</t>
  </si>
  <si>
    <t>Gonflage 1h</t>
  </si>
  <si>
    <t>Gonflage 45'</t>
  </si>
  <si>
    <t>Vitesse vent limite, mais en se positionnant quasi à mi pente …. Début du gonfflage Ok, par contre, j'ai du la freiner pour qu'elle ne me dépasse pas et du coup je me suis fait arracher. Heureusement j'ai eu le bon réflexe de maintenir la voile face au vent, donc sans conséquence. J'ai ensuite écourté le vol, car très vite en montant le vent était trop fort, je n'avançais plus. Attéro impec. Ensuite gonflage avec finalement assez peu de vent à l'attéro, paradoxe étonnant de Gensac...</t>
  </si>
  <si>
    <t>Anticyclone, légère tendance Est</t>
  </si>
  <si>
    <t>Conditions vraiment très light, longue bataille à Bourrus, puis à herran pour tenir et monter avec difficulté jusqu'à 1250m environ, mais un grand plaisir à retrouver un vrai vol. La fin est écourtée car je fais une faute tactique, revenu sur Bourrus, je retourne vers le déco (donc vers 13h15), je ne raccroche pas, retour à Bourrus, trop bas, je dois aller me poser, alors que la pompe à Cham était allumé. La prochaine fois, rester à Bourrus, faire le plaf est plutot tenter la ppe à Cham !!!</t>
  </si>
  <si>
    <t>Toujours des condictions difficiles avec des plafs à 1300 environ, mais cette fois marqués par des barbulles. Parcours classiue, Bourrus-Herran- Déco- Pompe à Cham. Par contre comme les thermiques déclenchent très en avant du relief, je trouve des thermiques un peu n'importe ou et pas là ou je les attends. Après 3 ou 4 tentatives avortées vers l'ESt, je tente une dernière fois ma chance, passe vertical Fougaron, croise un mini bulle sur les faces est après Fougaron, me diriga vers les antennes, rien à Hérégade, du coup je rentre (bien bas) à l'attéro.</t>
  </si>
  <si>
    <t>Déco Ouest ! Première fois. Monté avec Pierre Blanc, il faut 1h depuis le Planot. Pas trouvé le sentier, sommes monté par la piste, mais ça doit pas changer grand-chose. Petite brise orientée bien à droite, la tendans Est est bien là. Déco face voile, correct, sans plus, je me suis laissé surprendre par une prise en charge plus rapide que prévue. Ensuite thermo dynamique sous Piscatel en face Ouest, jusqu'au barbulle à presque 1400 m. A/R à Herbes blanches dans de bonne conditions, toujours des thermiques très en avant du relief. Après un denrier plaf, longue transition jusqu'à Bourrus puis espèce de soaring sur la face NO de Bourrus jusque sous Penne Blanque, étonnat vu dans bas. retour cool par l'Ouest d'Arbas. Beauccoup de plaisir !!!</t>
  </si>
  <si>
    <t>Très couvert le matin se dégageant en après midi</t>
  </si>
  <si>
    <t>Après une balade de 2h le matin, le ciel se dégageant peu à peu depuis la plaine, je décolle vers 15h, le déco quasiment encore dans le nuage. 1100 m péniblement à Bourrus très à l'ombre, Soulan pas beaucoup mieux, mais je finis par me dégager et comme le thermique m'emmène en milieu de vallée, je décale vers la pompe à Cham. Toujours autant de difficulté à bien monté, les th étant "dispersés". à 1300m environ je transite vers Hirigade que je raccroche très bas. toujours aurant de mal à bien mobté, le sentiment d'être tjrs à coté du vrai th. Je reprends +ou- 1200 et je file vers herbes blanches. Bon th au 4 chemins jusqu'au nuage à un petit 1300. A/R rapide en diorection d'herbe blanches, retour vers Hirigade ou je n'arrive pas à trouver un vrai th, transition déséstreuse vers Arbas/Berteille, posé à l'entrée d'Arbas coté Fougaron dans du gradient, un peu durement.</t>
  </si>
  <si>
    <t>Vol en // de Fabienne qui fait son premier biplace avec Thierry.</t>
  </si>
  <si>
    <t>Fin de passage perturbé avec du NO 10/15 kmh</t>
  </si>
  <si>
    <t>Nuages nombreux, planot bien à l'ombre, NO sensible, tout le monde hésite. Du coup je décolle et bien m'en prend, je trouve un thermique devant le déco qui me monte à 1500m dans les barbulles. Je vais vers la Husse, bien contré, et jet là bonheure trouve de quoi remonter bien en avant du relief et donc forcément sou le vent. Après 2/3 tentatives, je réussi à basculer coté Ouest et à monter au vent des cums. Du coup je passe nettement au dessus des plafs coté Arbas, peut-être 200 m au dessus de la base des nuages. Je continue à avancer vers l'ouest avec l'intention de faire le tour de Penne Nère, et comme ça monte plutot bien, je vais jusqu'au Col de Larrieu. Transitsion vers le relais, mais à mi parcours, je préfère obliquer vers le Mountagnat, ou je n'arrive pas à trouver la pompe et du coup fin  du vol....</t>
  </si>
  <si>
    <t>4.1, qques bons tours à droite, mais sortie vraiment trop dynamique et aérienne, je temporise trop tot, je frole le décrochaged dynamique… a retravailler</t>
  </si>
  <si>
    <t>Beau et long tour, avec des conditions juste limite pour partir en cross, du coup grand tour classique, La Husse, Herbes Blanches, Castelbiague, mais retour trop bas et poser à l'entrée d'Arbas Nord. En cours de vol, exercices en profitant de la pompe à Cham.</t>
  </si>
  <si>
    <t>ferm. Asym. Non accel. Maintenues, avec cap sellette + 2 frontales peut-être un peu timide mais qui ce passe très bien, en fait y'a rien à faire.</t>
  </si>
  <si>
    <t>Les condiction se tassent, après unpetit Soulan, et un A/R Bourrus / Mountagnat, j'abrège le vol en faisant des wings et qques bonnes inversions. Les bons points du vol, ce sont 2 points bas à Bourrus ou j'arrive à me refaire, les moins c'est que je dérive bcp plus mal que d'autres les thermiques.... Penser à la dérive occasionner par la brise + le vent météo.</t>
  </si>
  <si>
    <t>Ques bonnes inversions+ qque tours en 360 tjrs à droite !</t>
  </si>
  <si>
    <t>Anticyclonique, Vt de NO 10-15kmh à 1500m</t>
  </si>
  <si>
    <t>Je n'arrive pas à sortir du Planot, je me retouve à Bourrus sous le vent, je réussis à sortir une 1ere fois et à quasiment 1400m, je pars vers la Husse. Fortement contré, j'arrête la tentative à hauteur de la crête de Bourrus, j'échoue 2 autres fois à sortir, je dois aller me pose. Une suite de conneries, je discute retraite avec Sophie, je décolle alors que la plateuau devant le déco est à l'ombre et que la flamme pendouille, pas concentré je passe au travers des mini th. devant le déco. Ensuite à Bourrur alors que je sors plutot bien la première fois, au lieu de profiter du vent arrière et filer soit vers le déco, soit vers le Mountagnat, je me sens fort et tente Soulan. De retour à Bourrus, j'insiste encore, plus ou moins sous le vent, alors que j'aurai du me casser, soit tout droit en plaine, soit au pied du Muontagnat coté attéro. Bref, vol merdique, mais ... plein d'enseignements....</t>
  </si>
  <si>
    <t>Cette fois, je réussis à m'extraire devant le déco, j'insiste longtemps pour être le plus haut possible (1400 environ). N'arrivant pas à décaler vers Cornudère, je suis une voile vers le Mountagnat. Voyant que je passerai pas vers la ppe à Cham, je décale sur la crête devant le déco, je ne trouve rien alors que la voile devant moi à trouver une ascendance, bientot suivi par un Bi. Je finis par trouver l'ascendance, bien décaler en vallée, plutot au dessus de l'attéro. Je repars de 750m environ pour plafonner à environ 1850 m, dans un beau thermique. Ensuite Cornudère, Herbe blanche, retour un peu bas à Cornudère ou je retrouve une ascendance qui me monte à hauteur de la crête. Lheure passant, je vais me poser, tout en cherchant des yeux Claude Lamballe....</t>
  </si>
  <si>
    <t>Port de Lers</t>
  </si>
  <si>
    <t>Anticyclonique, flux de No</t>
  </si>
  <si>
    <t>Anticyclonique, en flux de sud</t>
  </si>
  <si>
    <t>Anticyclonique, en flux de sud, tournant à l'orage dés 15h</t>
  </si>
  <si>
    <t>Pic de Vardan - Seintein</t>
  </si>
  <si>
    <t>Impossible de sortir, je tente ma chance par 2 fois coté Escalette. Interressant de voir que ça tient aussi sur la butte devant à G de la zone de soaring. Posé sur la pente école, plutôt bien négocié.</t>
  </si>
  <si>
    <t>idem vol précédent, que de monde en l'air un nbre de biplace impressionnant ! Cette fois posé à l'int de la courbe à G de la zone de soaring. Posé un peu à l'arrac he car je n'avais pas assez de hauteur pour être tranquille.</t>
  </si>
  <si>
    <t>Idem précédent, mais cette fois coté Mountagnat</t>
  </si>
  <si>
    <t>Impossible de sortir, au 1er déco, j'ai eu beau bataillé à Bourrus rien à faire. Je décole encore une fois hors cycle.</t>
  </si>
  <si>
    <t xml:space="preserve">Vol pour "décompresser", </t>
  </si>
  <si>
    <t>2,2 je commence à trouver le cadencement en tangage</t>
  </si>
  <si>
    <t>Enfin, je réussi à sortir de Bourrus, beaucoup grace à PierreNi qui me montre le th. Je remont Bourrus, fait le tour de Pène Blanque, je ne trouve rien, du coup transition vers Soulan ou j'arrive en dessous de la crête mais je réussi à sortir assez facilement. A la Husse en décalant face Ouest, je trouve des th bizarre qui me propulse vers 1600m. Retour par le haut vers le déco ou je n'arrive pas à reprendre, par contre à Bourrus je trouve un bon th. De là je transite vers la ppe à Cham ou après pas mal de temps de trouve un th plutot devant. Avec l'arrivée de l'orgae par l'O, je vais me poser après une série d'exercices.</t>
  </si>
  <si>
    <t>Commentaires Ex.</t>
  </si>
  <si>
    <t>2,2 bons tangages, il manque pas grand-chose pour fermer en frontale. 360 d'un coté puis l'autre, pas mal, sortie aérienne bien gérée.</t>
  </si>
  <si>
    <t>traine de SO</t>
  </si>
  <si>
    <t>Etonnant de ne rien réussir,alors que c'est une excellentissime  journée  à Gensac, certains ayant pris 2000 m et fait un quadrilatère d'une 30aine de kms.</t>
  </si>
  <si>
    <t>Golden 4 26-Location</t>
  </si>
  <si>
    <t>Anticyclonique en flux de SO. Très chaud</t>
  </si>
  <si>
    <t xml:space="preserve">Monté à Cornu avec Pierre Blanc. Pas si dur que ce que je craignais. Après un déco raté, commande enroulée autour de l'élévateur, je réussi correctement le second. Je ne trouve pas grand-chose vers le déco d'Herran, ni vers piscatel. Par contre je finis par trouver un bon thermique du coté de la Ppe à Cham. transistion veres Soulan, re bon th. petit croché à La Husse, retour par Bourrus et Montagnat ou je ne trouve plus rien. </t>
  </si>
  <si>
    <t>Je tente de +en+ de tenir mes commandes en méthode Eyrault et de moins croiser les jambes pour les appuis sellettes… Pas facil!</t>
  </si>
  <si>
    <t>Un peu mieux, du Planot, direct Mountagnat ou j'arrive à m'extraire en partant de sous la crête, à G de la ppe à cham. Jusqu'à 1250 à peu près, ensuite endécalant vers Cornu je trouve une pompe au milieu de nulle part que je décale jusqu'à la crête. Après une tentative avortée pour aller à Herbe blanche, re ppe à cham et à 13/1400 je tente le plein nord en espérant accrocher sous un des beaux cums devant, mais rien, demi tour et posé.</t>
  </si>
  <si>
    <t>Mixage de la tenu des commandes, en dragonne quand les conditions sont calmes, en garde courte quand ça bouge un peu plus. C'est peut-être la bonne solution</t>
  </si>
  <si>
    <t>Dé "sevrage" du croisé de jambes, et tentative de meilleur contrôle du roulis/tangage en thermique.</t>
  </si>
  <si>
    <t>Suite perturb en flux d'Ouest</t>
  </si>
  <si>
    <t>Tangages, je n'y arrive de nouveau plus. Je tiens maintenant mes commandes en "tour de frein", gag, je n'arrive plus à piloter en dragonne, commandes trop longues. Par contre j'ai très vite des fournmis aux mains.</t>
  </si>
  <si>
    <t xml:space="preserve">tangages, toujours aussi difficile à cadencer, tentative de virage en fin d'accélaration, pas facile. Qques 360. </t>
  </si>
  <si>
    <t>On pensait sortir "facilement", avec Pierre Palette on se retrouve coincés à Bourrus dans du tout petit, jusqu'à l'attéro pour moi.</t>
  </si>
  <si>
    <t>Déco du Plat d'Adet +ou- dans les nuages, parti pour un plouf je vais faire mon + beau vol de l'année. Du coup, teeshirt sous la combi et gants de jardinage .. Bravo !
Devant moi, Thierry Hannard, moniteur qui encadre le WE TDS. Direction les Granges de Grascouéou, ou .... ça tient, sous les nuages à 1300/1400. On reste là un bout de temps, il finit par aller à l'attéro pour les guidages radio et je continue à "jouer" sous les granges entre autre en regardant des pompiers qui font un trail. Comme ça tient bien, je glisse peu à peu vers le nord de la crête, avec 2 autres pilotes. En bout de crête, comme les nuages sont bien sympa en faces est de l'Arbizon (qui est dans les nuages) ... j'y vais et de de crête en crête, je vais comme ça jusqu'au col d'Aspin. Vincent Malan m'a suivi. Nous faisons demi tour, nous récupérons rapidement JMWurtz qui venais vers nous et nous voilà sur le retour. Je choisis (mal) un option relief qui est à l'ombre et je fais un point bas, pendant que les 2 autres, s'enfuient avec l'aide de la brise vers la crête N des granges en route vers St Lary. Comme je dois me refaire, je me retrouve avec des vautours dans les combes est de l'Arbizon du coté d'une conduite forcée. bingo ça monte bien, très bien même jusqu'au nuage à 2000m. Du coup je peux revenir par dessus la crête des Granges. Trop bas pour tenter la traversée de la vallée, très, très content de ce vol, je m'en vais tranquillement me poser.</t>
  </si>
  <si>
    <t>Il faut grand beau temps, nous sommes à la Serre de Soulan. Pour une fois je patiente en regardant les autres TDS décoller. Trouvant que la vautours montent forts et clairs et que nous sommes déjà plus tard que la veille, je décole. Le long de la crête je "joue" qques virages et autres, car en fait je n'y crois pas vraiment. Erreur, ça tient très bien aux granges de Grascouéou, c'est même assez Rock and Roll. Même direction que la veille, mais sous l'Arbizon en faces Est, je butte autour de 1600 et je n'ose pas allez vers le Nord. Faut dire aussi que cette fois mersonne ne me suit... ça me met pas en confiance. Du coup demi tour et en effet, au même endroit que la veille, pas possible de passer au dessus de 1500/1600. Du coup je reviens bien bas sur la crête Nord des Granges au dessus d'Ancizan, je glisse avec prudence vers St Lary, et en effet, je suis sous le vent, vive le rock and roll. Mais ça ressort, vite même. Une autre voile me montre l'ascendence jusque vers 2000, elle transite vers Val Louron, mais je pense que c'est trop bas, du coup je remonte la crêtevers la Serre, et je reviens au dessus du déco après quasi 2heures de vol. L'endroit est magique, je monte peu à peu, +ou- guidé par des rapaces, toute la douceur de la serre sous moi, au nord la majesté inquiétante de la face sud de l'Arbizon. Et comme ça, je me retrouve vers 2500 et je vais faire le tour du mini cirque qui constitue le haut de la station d'Espiaube. Je traine là un petit bout de temps, j'en profite !!!! retour en restant vertical de la crête jusqu'au granges, j'atteins péniblement 2300 et je transite vers Val louron. J'arrive trop bas, il me manque au moins 100m. Je passe au dessus des combes Est et sud au dessu d'Azet, la zone est fortement sous le vent et ne m'inspire vraiement pas. Coté Ens, personne en l'air, du coup, je préfère allez vers l'attéro de vignec. La aussi très très beau vol. Attéro délicat, brise et déclenchement.</t>
  </si>
  <si>
    <t>Flux de Sud très léger avec retours d'Est</t>
  </si>
  <si>
    <t>Déco avec Michel Delahuerta, devant le 799 puis plus au nord sur la crête en direction d'Areau on prend 2700. Direction les Granges, j'ai pris du retard sur Michel que je comble partiellement en remontant la Serre de Soulan. De nouveau 2600 vers le sommet de la station d'Espiaube, puis 3000 sur le début du retour. Je retrouve Michel qui s'échigne sur le bout Nord des Granges pour attteindre 2700. De mon coté je commence par trouver quelque chose, que je perds vers 2650 et au lieu de partir tout de suite ou au contraire de patienter pour reprendre vraiement 2700, je pars en transition vers Val Louron à un mauvais 2550. Je butte sur la crête Ouest sou le 700. Je me pose, plis en vitesse, et me dirige à marche forcée vers le 700 ....</t>
  </si>
  <si>
    <t>Suite du vol précédent, j'arrive quasi en courant au 700 ou la brise descend par à coup. Je me prépare à la vitesse grand V, 2 fois le bord d'attaque est replié par la brise. Coup de chance, du temps de me mettre dans la sellette, il n'y a plus rien. Je gonfle façon "bourrin", ça monte péniblement, je cours, je cours, je cours, et ça fini  par décoller. Ouf. Re chance je retourve vite un thermique et je sui parti pour 3200. Transition vers le Val d'Aube, 3200 très vite, direction les faces Ouest au dessus  du lac d'Oo. j'ai du mal du coté du "Hounts Secs" sur la crête Nord/Sud qui part vers le Quayrat. Comme toute la crête est à l'ombre et que le relief m'impressionne beaucoup, je vais vers le nord ou je trouve un bon thermique pour 3300m. Transition vers la Cap de Pale, re 3200 et après jusqu'au Pic du Lion je "joue" sous la rue de nuages Sud/Nord à ne pas me faire prendre dans le nuage. Retour du Pic du Lion à fond de 2ième barreua pour un passage au dessus du 700 ou Michel s'est posé pour récupérer la voiture. Au dessu du Lac, ça monte un peu partout, craigant une entrée de Sud (je me demande bien pourquoi ,??) je fais des 360 à Dr et à G. je me pose en brise travers ouest/Est complètement vidé. Une fois déséquipé, je mets bien une demi heur pour retrouver un semblant de forme et ce n'est que 2 ou 3h plus tard que je retrouverai vraiment la forme.
Quelle journée !!!! En plus le soir à Cazeau, brâme du cerf !!! Super !!!!</t>
  </si>
  <si>
    <t>360 à Dr et à G sur au moins 500m avec des -4 et -5m/s, avec difficulté, mal de l'air, fatigue manque de repère sol…. Les 500 derniers mètres sont "desecndus en 5min environ, ça fait du -1,6m/s en moyenne, pas très "violent"….</t>
  </si>
  <si>
    <t>Flux global de NE froid, vente d'ouest vers 3000m, régime de brise en basse couches</t>
  </si>
  <si>
    <t>Météo d'automne, avec une importante couche nuageuse le matin, du coup je me suis laissé "enfermé" et après avoir raté les vols du samedi, je me "réveille" un peu tad ce dimanche. Pas grave, nous avons vu des biches et cerfs…. Petit vol depuis le resto d'altitude, brise assez forte et turbulente, malheureusement un pilote fait la bétise d'un dernier 360 à 50m sol, certainement car il pensait être haut, et au bout d'un demi tou, il se vautre dans l'espace jeu à coté de la piscine. Contucions et au moins une dent cassé... quelle dommage.</t>
  </si>
  <si>
    <t>Flux de Sud Ouest</t>
  </si>
  <si>
    <t>Déco de Cornudère, face Sud, qques bulles et puis direction faces Nord.</t>
  </si>
  <si>
    <t>Passage par le Mountagnat, une voile dans les arbres me fait écourter le vol, fausse alerte elle est là depuis 1mois1/2</t>
  </si>
  <si>
    <t>tangages en tentant de conserver le regard devant vers le haut … Paxs facile</t>
  </si>
  <si>
    <t>Qqueq wings pour accélerer la descente.</t>
  </si>
  <si>
    <t>Anti cyclonique 1030 mbar</t>
  </si>
  <si>
    <t>Quel plaisir de revoler….du Planot en condition de très grande stabilité</t>
  </si>
  <si>
    <t>Tangage, virage dans l'accération, chandelle</t>
  </si>
  <si>
    <t>Qques jolis wing</t>
  </si>
  <si>
    <t>Wings sellette seule</t>
  </si>
  <si>
    <t>De cornudère, c'était le bon choix, en flux de Sud, vois léger sud Ouest, déco face voile qui par effet girouette se met bien 30° vers l'Ouest, qques pas et ça vole dans du plutôt turbulent. Après mettre dégager du relief et une mini tentative vers la droite, je glisse très vite vers l'Est car ça bouge quand même un peu. Un ^peu avant de basculer vers la face Nord, je trouve une première bulle, male foutue, je fais quand même un virage dedans, une fois par la droiten, une fois par la gauche, je sens bien qu'il y a quelque choes, mais où ? Ca semble haché par le vent, c'est turbulent, mais je fini par trouver une bonne ascendance dans laquelle Greg me rejoint après qques minutes. On prend une centaine de mètres au dessus du déco, il tente vers l'Est, je tente vers l'Ouest face au vent, à la deuxième tentative, je progresse, j'aurai peut-être pu continuer vers l'Ouest sur la crête, mais après hésitation, je préfère basculer vers le Nord en direction de Pène Blanque.Bien contré en Ouest-SudOuest mais sans jamais avoir trouver de zone de cisaillement, j'arrive bien haut à Soulan, ou je refais un thermique pour 1200 m environ, bascule vers Bourrus, un peu plus difiicile pour refaire un peu plus de 1100, transition vers le Mountagnat ou je trouve plus rien, fin de vol....
Un gand grand plaisir à avoir "surfé" cornidère en face sud....</t>
  </si>
  <si>
    <t xml:space="preserve"> </t>
  </si>
  <si>
    <t>TOTAL</t>
  </si>
  <si>
    <t>Année</t>
  </si>
  <si>
    <t>Seul, je monte en voiture au parking de la fontaine de l'ours, puis à pied à Cornuèdre (45'). Quand j'arrive vers midi, il y a d'assez fortes rafale de Sud-Ouest. Du temps de contempler le paysage coté nord, puis de manger qques barres céréales et de passer coté Sud,... plus de vent ! En fait je décollerai coté Nord sans brise ! Je passe au dessus de Pène Blanque, et je rejoins Soulan qui est sur lignée par un alignement de barbulles dont le plaf est 1000m environ. Je vais jouer la dedans pendant 3 bon 1/4 d'h. Jusqu'à prendre 1200 dans le nuage presque à la Husse. Mais craignant que ça ce ferme, je transite vers Bourrus. Mais tout est en train de passer à l'ombre. Je prends encore 2 thermiques, assez étrange, peut-être hachés par du NE assez sensible, peut-être accéléré sous la couche. Je vais me poser assez rapidmeent acr une voiture est arrivée et en effet, ils me remontent au déco. Je n'ai plus qu'à récupérer la voiture pour conclure une merveilleuse journée pendant laquelle j'ai eu Arbas pour moi tout seul !!! Je ne pouvais pas espérer mieux pour conclure cette belle année de reprise.</t>
  </si>
  <si>
    <t xml:space="preserve">Qques tangages, essai de virages accélérants. </t>
  </si>
  <si>
    <t>Reprise en grande sérénité sous la houlette de Thierry et Richard.</t>
  </si>
  <si>
    <t>Peu à peu je (re)trouve de bonnes sensations malgré des météos pas très favorables. Entre autre je n'ai jamais eu de vraiment bonnes condictions à Arbas pour partir en cross. J'ai su prendre mon temps, pour accumuler des heures et de l'entrainement. Les apports du livre de David Eyraud sont importants, il faut continuer dans ce sens. Les derniers cross de St Lary et Val Louron ont été magnifiques. J'espère pourvoir très vite retrouver de telles conditions.</t>
  </si>
  <si>
    <t>Taille</t>
  </si>
  <si>
    <t>Sigma 9</t>
  </si>
  <si>
    <t>Allongement</t>
  </si>
  <si>
    <t>Poids</t>
  </si>
  <si>
    <t>Air Design</t>
  </si>
  <si>
    <t>Rise 2</t>
  </si>
  <si>
    <t>S</t>
  </si>
  <si>
    <t>Surface à plat</t>
  </si>
  <si>
    <t>SM</t>
  </si>
  <si>
    <t>Gradient</t>
  </si>
  <si>
    <t>Aspen 5</t>
  </si>
  <si>
    <t>ITV</t>
  </si>
  <si>
    <t>Mac Para</t>
  </si>
  <si>
    <t>Eden 6</t>
  </si>
  <si>
    <t>Elan</t>
  </si>
  <si>
    <t>Niviuk</t>
  </si>
  <si>
    <t>Ikuma</t>
  </si>
  <si>
    <t>Artik 4</t>
  </si>
  <si>
    <t>Ozone</t>
  </si>
  <si>
    <t>Delta 2</t>
  </si>
  <si>
    <t>MS</t>
  </si>
  <si>
    <t>Sky Paragliders</t>
  </si>
  <si>
    <t>Apollo</t>
  </si>
  <si>
    <t>Argos</t>
  </si>
  <si>
    <t>Nyos</t>
  </si>
  <si>
    <t>Nexus</t>
  </si>
  <si>
    <t>UP</t>
  </si>
  <si>
    <t>Kibo</t>
  </si>
  <si>
    <t>U-Turn</t>
  </si>
  <si>
    <t>Blacklight 2</t>
  </si>
  <si>
    <t>Class.</t>
  </si>
  <si>
    <t>Nervures</t>
  </si>
  <si>
    <t>Diamir 2</t>
  </si>
  <si>
    <t>prix</t>
  </si>
  <si>
    <t>Nbre cellule</t>
  </si>
  <si>
    <t>Nbre lignes</t>
  </si>
  <si>
    <t>Longueur cône</t>
  </si>
  <si>
    <t>Mettrage suspente</t>
  </si>
  <si>
    <t>2+1 / 4 / 3</t>
  </si>
  <si>
    <t>PTV</t>
  </si>
  <si>
    <t>74 / 94</t>
  </si>
  <si>
    <t>75 / 100</t>
  </si>
  <si>
    <t>C</t>
  </si>
  <si>
    <t>2+1 / 3 / 4</t>
  </si>
  <si>
    <t>2 / 3 / 2</t>
  </si>
  <si>
    <t>75 / 95</t>
  </si>
  <si>
    <t>Rmqs</t>
  </si>
  <si>
    <t>1+1 / 2 / 3</t>
  </si>
  <si>
    <t>Queen</t>
  </si>
  <si>
    <t>80 / 100</t>
  </si>
  <si>
    <t>1+1 / 3 /2</t>
  </si>
  <si>
    <t>70 / 90</t>
  </si>
  <si>
    <t>2+1 / 3 / 3</t>
  </si>
  <si>
    <t>V light 3,9kg</t>
  </si>
  <si>
    <t>V light 3,7kg</t>
  </si>
  <si>
    <t>V light 4kg</t>
  </si>
  <si>
    <t>V light 4,3kg</t>
  </si>
  <si>
    <t>V light 4,5kg</t>
  </si>
  <si>
    <t>2 / 2 / 3</t>
  </si>
  <si>
    <t>Mont Né</t>
  </si>
  <si>
    <t>Cirès</t>
  </si>
  <si>
    <t>Anticyclonique, flux de NE en altitude</t>
  </si>
  <si>
    <t>J'imaginais faire la balde en solo, finalement nous étionse 5 dans la voiture (Pascal Caungègre, Thibaut, Guillaume et Alexia des TDS) + 2 venant de Dourgne (Eric et Morgan). Je craignais de me trainer en queue de peloton, seul Eric était franchement à l'aise, tous les autres +ou- à la peine. Donc je peux envisager des dénivellés jusqu'à 1000 m. Mais une redesecente serait problématique !!!! On est passé par la port de Balés, il n'y a pas de point vraiment dur, seule le passage après le port de balès jusqu'à mi pente du Mt Né grimpe vraiment. J'ai décollé en premier dans des condictions bizarres, certainement de la brise de pente SE contrarié juste au dessus par du NE. Je n'ai pas réussi à exploiter une seule buelle, juste me faire chahuter, contrairement à quasiment tous les autres, dont Thibault qui fait un très beau vol d'1h30 peut-être en remontant les faces SE vers le Sud, Port de Pierrefitte et Pic du Lion je crois. C'est pas bien grave pour le vol, je suis très satisfait de mon mix montée / Vol, par contre l'attéro était pas magique, seul Pascal l'a bien négocié en faisant une branche arrière coté vallée et non coté montagne qui était alimenté et porté trop d'ou de longue et pas bien jolies finales....
 refaire en passant par Pierrefitte.</t>
  </si>
  <si>
    <t>La Ramée</t>
  </si>
  <si>
    <t>Gonfflage 45'</t>
  </si>
  <si>
    <t>Gonfflage 1h</t>
  </si>
  <si>
    <t>75 / 90</t>
  </si>
  <si>
    <t>3 / 4 / 3</t>
  </si>
  <si>
    <t>74 / 98</t>
  </si>
  <si>
    <t>65 / 90</t>
  </si>
  <si>
    <t>Golden 4</t>
  </si>
  <si>
    <t>Colomiers cimetière</t>
  </si>
  <si>
    <t>Gonfflage 1h, mais pas très actif, car vent un peu faible.</t>
  </si>
  <si>
    <t>Flux de Sud avec retour d'Est</t>
  </si>
  <si>
    <t>Qques tangages timides, 2 oreilles asymétriques à 1 suspente.</t>
  </si>
  <si>
    <t>Durée cumulée</t>
  </si>
  <si>
    <t>Achat sellette en avril 2016</t>
  </si>
  <si>
    <t>Rreprise après …. 6 mois 1/2 + Repas trop arosé la veille, je suis rapidmeent pas bien, du coup je finis par stopper le vol. Mais une reprise, dans des condictions qui bougent qd même pas mal, c'est déjà très bien. Essai accélarateur, un peu trop tendu. 
Exercices : oreilles asymétrique avec 1 suspent, c'est étrange, la voile part coté ouvert + Wing à la selette seulement ( à recommencer, ça envoie vite !)</t>
  </si>
  <si>
    <t xml:space="preserve">Anticyclonique </t>
  </si>
  <si>
    <t>Parti pour une glissade, je trouve des bulles à Bourrus… après exercices qui enchainés avec un pliage rapide et une remontée à l'arrière d'un fourgon fermé me rendent malade. Zut !</t>
  </si>
  <si>
    <t>Je ne suis pas remis, estomac en vrac, je pars avec l'intention d'aller me poser rapidement et d'aller marcher. Je trouve qques bulles à Bourrus, qques exercices et attéro. Après être allé chercher ma voiture, de retour à l'attéro, c'est le branle bas de combat. Un pilote, JC, s'est mis en vrac dans le champ juste de l'autre coté de la rivière par rapport au terrain de tennis. Décrochage dans le dernier virage. En remontant les causes... Vol de reprise après 3 mois en Asie, conditions anticyclonique radada alors que toute l'année dernière il n'a pas fait un seul plouf, des voiles qui tiennent à Soulan, du coup il va aux Yourtes en sachant qu'il de vra se vacher, il ne trouve rien, i se dirige vers l'attéro qu'il a prévu en l'examinant à la kloup, animaux, lignes, barrière, mais il prend une bulle, dyu coup il pense pourvoir rallier l'attéro, d'autant qu'il lui est arrivé plusieurs fois de passer "au travers des arbres", mais là c'est vriament trop court, il fait donc un virage sur la gauche avec bcp de commandes car le rideau d'arbre est vraiment proche, puis pour ne pas poser en virage et sans diminuer son amplitude de commande gauche, il met un peu de frein à droite pour redresser, l'aile décroche instantannément, il l'a sent partir en arrière. Il impacte sur les jambes très forts, la fin il ne s'en souvient pas, mais probablement qu'il finit sur l'airbag. Quand moi, j'arrive, il est couché dos dans sa sellette, sa voile est derrière lui posé sur l'extrados. Bilan, tassement vertèbre L1, Clinique des Cèdres et intervention prévue le 13/03 pour injection "ciment".</t>
  </si>
  <si>
    <t>Je trouve enfin la bonne dadence pour faire du tangage. Jusqu'à maintenant je freinais trot tot  au retour de l'abattée et avant la ressource. Là du coup, ça envoit vraiment au point qu'après 2 A/R, je freine la voile de peur qu'elle ne ferme. Ca n'était donc pas la voile mais bien ma technique qui limitait les amplitudes.</t>
  </si>
  <si>
    <t>Flux de su en altitude, ouest en basse couche</t>
  </si>
  <si>
    <t>Après une bonne sortie du déco à 1400m, voulant aller à Soulan, je m'entête contre de l'Ouest, au moins 15kmh, je raccorche haut à Soulan, mais pas moyen d'enrouler quelque chose de propre, aux alentours de 800m, j'enroule un thermique en me laissant dériver vers Bourrus, mais c'est trop tard, je raccorche bas à Bourrus et je n'arrive pas à me refaire. Ph Flament qui a décoller juste avant moi, et parti vers l'Est jusqu'à Herbes blanche en faisant un plaf à 1900 vers Cornudère. Dommage, je suis frustré d'avoir choisi la mauvaise option, mais content de ne pas avoir fait d'erreur de pilotage ou autre.</t>
  </si>
  <si>
    <t>Petites conditions, du coup je me maintiens à Bourrus jusqu'à rater un cycle. Vol très doux, très agréables, commandes très légères, la voile donne des infos et répond comme je l'aime. Bien sûr, je vois bien que de nbres autres voiles planent mieux, mais c'ets pas grave, j'ai la voile pour m'y remettre.</t>
  </si>
  <si>
    <t>Sacré vol, 2740 m scotché face au S.O. du coté de Paloumère dans une confluence entre le vent météo et la brise de vallée. Du coup joli triangle FAI de 30 kms en passant par Castelbiague, mais j'emplafonne la TMA4 de Tlse que je ne connaissais pas. Gaffe la prochaine fois.</t>
  </si>
  <si>
    <t>Gonflage et exercices Biplace</t>
  </si>
  <si>
    <t>Ozone Magnum et Nervues Toukbal</t>
  </si>
  <si>
    <t>Payoles</t>
  </si>
  <si>
    <t>Génos</t>
  </si>
  <si>
    <t>Perturbation en flux d'O en plaine</t>
  </si>
  <si>
    <t>Lot</t>
  </si>
  <si>
    <t>Floirac</t>
  </si>
  <si>
    <t>Régime de N. après un frond froid</t>
  </si>
  <si>
    <t>Hors cycle, mais pas grave, déco réussi, posé en douceur et pas de faute.</t>
  </si>
  <si>
    <t>Je trouve le choix d'une voile assez facile. Par contre, pour une sellette…. Ayant repris l'activité l'année dernière après 5 ans d'arret, je me suis rééquipé cet hiver et ne trouvant pas le produit idéal, j'avais fini par acheter d'occase une Woody valley Peak 1 en taille L, associé à une Gradient Golden 4 - 24, en haut de fourchette. Précision, je mesure 1m70 pour 72 kg. Après une quizaine d'heures, je trouvais que l'ensemble me donnait trop d'infos et surtout 2 défauts à la sellette, je glissais vers l'avant et le haut du dos n'était pas assez soutenu ce qui me donnait des douleurs lombaires au bout de 1h-1h30 de vol. Après essai en portique de 4 modèles (merci Surfair qui a un large choix), j'ai essayé une Swing Connect Reverse Evo taille L et .... je l'ai acheté. Elle réagit à peu près comme la Peak, mais + sensible au réglage de la ventrale, au point de  limiter le pilotage sellette en la serrant mais en diminuant d'autant les infos en masse d'air turbulente (mais au moins je choisis le compromis qui me va bien) et surtout elle me procure un confort que je n'avais jamais eu avec une prise en charge du dos type "siège baquet". En plus, en virage en appui, je trouve un appui latéral très agréable, comme le coté de mon buste participait à l'appui. Deux défauts :  
- seule la ventrale est réglable en vol. Pour l'inclinaison du dos et de l'assise, c'est obligatoirement au sol. Par contre, il y a des repères sur les sangles qui facilitent, réglages et symétrie D/G.
- les liaisons sellette/maillons tournent sur eux même à vide ce qui complique la prise en main des élévateurs au décollage. Il faudra y apporter plus d'attention à la prévol, attention au tour de sellette, d'autant plus que j'ai un conteneur ventral porte instrument.
Une fois au sol, en fonction sac de portage, c'est du grand art. J'ai maintenant un sac compact avec secours, voile, combi, polaire, casque et gants, le tout sans utiliser le "chapeau" supplémentaire venant en complément du sac. 
Conclusion, j'ai acheté une sellette baquet de grand confort me donnant les infos que je souhaite de la part de la voile et un sac de portage de grande qualité, coup double et bingo !</t>
  </si>
  <si>
    <t xml:space="preserve">pour 2016 :
Reprendre les gonflages, sans vent pour travailler la tempo/Visu, GO/NoGO, travailler dans du vent + fort, turbulent pour "dompter" la voile, jouer, s'amuser, maitriser.
En l'air continuer à voler au feeling, ne pas prendre de matos, à la limite une montre. Travailler tous les basiques, tangage, Oreille, Oreille asymétrique type petit fermeture, wings. 
Dédier des vols à ça, genre Arbas/Pompe à Cham, monter, et redescendre en exercices. </t>
  </si>
  <si>
    <t>Gonflage</t>
  </si>
  <si>
    <t>Dos Voile</t>
  </si>
  <si>
    <t>Sans vent</t>
  </si>
  <si>
    <t>Pente école</t>
  </si>
  <si>
    <t>Sol</t>
  </si>
  <si>
    <t>Air</t>
  </si>
  <si>
    <t>Pilotage</t>
  </si>
  <si>
    <t>Incidents</t>
  </si>
  <si>
    <t>Avec vent</t>
  </si>
  <si>
    <t>Descente</t>
  </si>
  <si>
    <t>Tangage</t>
  </si>
  <si>
    <t>Wings over</t>
  </si>
  <si>
    <t>Oreille 1 suspente</t>
  </si>
  <si>
    <t>Oreille 2 suspentes</t>
  </si>
  <si>
    <t>Oreille élévateur</t>
  </si>
  <si>
    <t>Accéléré 1er barr.</t>
  </si>
  <si>
    <t>Accéléré 2ième barr.</t>
  </si>
  <si>
    <t>Frontale</t>
  </si>
  <si>
    <t>Décrochage</t>
  </si>
  <si>
    <t>B</t>
  </si>
  <si>
    <t>Elément</t>
  </si>
  <si>
    <t>Vérif/Ctrl</t>
  </si>
  <si>
    <t>Sellette</t>
  </si>
  <si>
    <t>Secours</t>
  </si>
  <si>
    <t>Terrain plat</t>
  </si>
  <si>
    <t>Non accel.</t>
  </si>
  <si>
    <t>Documentation</t>
  </si>
  <si>
    <t>Dossier PP 161, 162, 163</t>
  </si>
  <si>
    <t>Manuel voile Golden</t>
  </si>
  <si>
    <t>Internet</t>
  </si>
  <si>
    <t>Stage</t>
  </si>
  <si>
    <t>Niv1</t>
  </si>
  <si>
    <t>Niv2</t>
  </si>
  <si>
    <t>Niv3</t>
  </si>
  <si>
    <t>Niv4</t>
  </si>
  <si>
    <t>------------------</t>
  </si>
  <si>
    <t>Phases</t>
  </si>
  <si>
    <t>Ressource/Abattée/Accélération</t>
  </si>
  <si>
    <t>Accéléré</t>
  </si>
  <si>
    <t>limite sur l'abattée, pas trop maitrisé tout ça, le vario ne donne pas de valeur mais ça descendait vraiment fort</t>
  </si>
  <si>
    <t>Description, vol et atterrissage ou Exercices</t>
  </si>
  <si>
    <t>ref Exercices</t>
  </si>
  <si>
    <t>Premiers gonflages, mais conditions pourries, j'aurai mieux fait de laisser la voile dans le sac…</t>
  </si>
  <si>
    <t>Sur la piste ULM de Maubec, quasi pas de de vent, 3 gonflages en courant sous la voile sur une cinquantaine de mètres. Elle est vraiment facile, elle donne presque l'impression d'être en autogestion.</t>
  </si>
  <si>
    <t>Ouvreur de la compet, pas réussi à accrocher…</t>
  </si>
  <si>
    <t>Avec maintien du cap</t>
  </si>
  <si>
    <t>Ferm Asy 1 suspente</t>
  </si>
  <si>
    <t>Ferm Asy 2 suspentes</t>
  </si>
  <si>
    <t>Ferm Asy élévateur</t>
  </si>
  <si>
    <t>Sur la piste ULM de Maubec, vent d'autan. La piste est légèrement sous le vent d'un petit bois, du coup la vitesse du vent varie bcp, de quasi rien à limite se faire  arracher. Je découvre un pli longitucinal entre B et C et que la boucle des suspents C (jaunes) fait 2 tours dans le maillon de liaison avec les élévateurs. En enlvant se tour, il me semble que le pli diminu. Sinon, plein de gonflages face voile et passage en dos voile.</t>
  </si>
  <si>
    <t>Anticyclonique dans un flux léger d'O</t>
  </si>
  <si>
    <t xml:space="preserve">Anticyclonique  </t>
  </si>
  <si>
    <t>Sengouagnet</t>
  </si>
  <si>
    <t>NE</t>
  </si>
  <si>
    <t>Re bon déco, re thermique devant Bourrus, mais je pars vers Herran trop tot, bcp trop optimiste, je suis contré par la Brise. Demi tou vers la face N de Bourrus, mais trop bas, je n'arrive pas à me refaire. Bonne prise de terrai bien au vent du terrain et bon attéro.</t>
  </si>
  <si>
    <t>N/A</t>
  </si>
  <si>
    <t>Bon début de vol après un déco bien propre. Condictions de début de printemps. Après un rapide passage à Bourus, je met du temps à comprendre le décalage du thermique à la Husse. Je pars vers l'Ouest en vu d'un cum, mais qui s'avèrs bcp plus loin que ce que je pensais. Du coup je mazègue vers le relais et je me pose sagement à Sengouagnet dans une bonne brise.</t>
  </si>
  <si>
    <t>Sud fort en alt. Retour d'est en basse cuoche</t>
  </si>
  <si>
    <t>Redécco vers 15h, direction Ppe à Cham; cette fois ça le fait. Gérard et Yann Gassagne ayant décollé juste après moi étant à Bourrus/Soulan, je les rejoins, qques th. À Soulan, Plaf à 1400 et retour à la ppe à cham. Tentative vers Cornudère, mais je trouve que ça descend trop et retou à la ppe à Cham. A/R au col d'Arbas et sur le retour un pilot se cratérise à coté de Fougaron, du coup je rentre aux oreills accélérées pour avertir car radio HS. Un pote était averti et le gars n'a rien qu'un beau bleu à l'âme.</t>
  </si>
  <si>
    <t>Pte oreiles acc. Ça descend à -3m/s environ. Pas regardé la vitesse.</t>
  </si>
  <si>
    <t>Impossible de sortir de Bourrus alors que d'autres réussissent et transitent à Soulan et que d'autres font un tas (dont des élèves instructeurs). Du coup c'est un peu énervant et je veus retenter ma chance.</t>
  </si>
  <si>
    <t>Sud Ouest 30/35 au dessus de 2000m</t>
  </si>
  <si>
    <t>Beau thermique à la sortie du déco qui me décale loin derrière, presque jusqu'à la crête de Cornudère, plus compliqué du coté d'Herran/ La Husse ou ça montait bien devant, mais impossible de trouver quelque chose à la Husse ou je perds ma girouette. Bouhhhhhh !</t>
  </si>
  <si>
    <t>Gensac / Garonne</t>
  </si>
  <si>
    <t>N/NO un peu faible</t>
  </si>
  <si>
    <t>Un peu faible, mais après qques gonflages au déco, j'ai pu voler dans un cycle, bien sympa !</t>
  </si>
  <si>
    <t>Flux d'est</t>
  </si>
  <si>
    <t>Régime d'autan</t>
  </si>
  <si>
    <t xml:space="preserve">Heure décollage (locale) </t>
  </si>
  <si>
    <t>Régime d'autan, pré orageuse</t>
  </si>
  <si>
    <t>Thermiques rock&amp;roll, plusieurs fermetures asym., de grands mouvements d'ailes, que j'arrive à dompter un peu mieux au fil du vol. Impression de régir trop tard et avec un manque d'amplitude.</t>
  </si>
  <si>
    <t xml:space="preserve">Oui, </t>
  </si>
  <si>
    <t>Sifflet Ok, cale pied à ajouter.</t>
  </si>
  <si>
    <t xml:space="preserve">Bilan reprise : Il y a eu tant de changements. 5 ans depuis le dernier vol, c'est aussi passer de 47 à 52 ans, passer de la vie avec flo + enfants à la vie en solo + mes Fils + Fabienne. Pendant cet arrêt, il y a eu également l'apprentissage du planeur, 3 saisons, brevet pilote,mais pas laché plaine, juste avant. Grande rigueur, sécurité de la machine, des autres, de l'espace aérien et le feeling pour trouver/monter en ascendences, vie de club intense et nécessité des autres pour voler, les mises en piste, le remorquage, l'entretien, les instructeurs .... Sur le planeur, instruments inutile, le vario donne signe de vie quand on est déjà sortie de la pompe, il ne sert qu'à valider le choix, seul sert vraiment le badin, là faut pas jouer, surtout avec les basses vitesse en phase d'approche/ attéro. Par contre les réactions de la machine sont géniales, on sent tout, même s'il m'a fallu pas mal de temps pour commencer à "re sentir". Grande difficulté à ne pas confondre turbulences et ascendences.
Mais pendant ces années, il m'a manqué quelque chose, la liberté ? sentir le vent, l'air ? la proximité de la nature ? ... et puis cette simplicité de fonctionnement, un sac un peu gros, une dizaine de kilos, un déco de préférence face au vent ou un champ quelque part en campagne, et c'est parti, le plaisir....
Du coup, mon objectif, forcément, me faire plaisir, retrouver l'euphorie du vol, ces immenses moments privilégiés de contact avec la nature, avec la masse d'air, dans les plus grandes conditions de sécurité possible. 
Alors au printemps, coupe de fil à Surfair pour une re formation nécessaire, comme un débutant (pente école, 1er grand vol en air calme etc ...),  formatrice, une très bonne remise dans le bain. Et puis retrouver d'anciens formateurs 'Thieery Struxiano et le merveilleux Richerd Penne), une école, un club (Profil), un site génial (Arbas), quel retour aux sources. Ecouter les Q/R des élèves dans la navette, gérer les décos, non pas pour partir dans les conditions fumantes mais plutot, en fonction d'une aérologie saine, fonction aussi des autres, pilotes, élèves, en s'appliquant pour un beau déco bien décomposé, avec une vraie tempo/visualisation et puis retrouver le goût du vol, sans instrument, juste les sensations, sellettes, mouvement, accélération, vision des éléments, oiseaux, papillons, le relief qui se dégage ....
Et comme le vélo, on oublie pas du moins les fondamentaux. Du coup après 3 WE, nous convenons avec Surfair, que je continue comme je le souhaite, juste avec la radio sur la fréquence école, histoire de leur dire ou je suis.... La suite de l'année je vais leur louer du matos, et du coup découvrir qques ailes actuelles, Golden 4, Aspen 4, Nevada x, 777 Rook 2 et une dizaine de sellettes, neuves, vieilles d'école etc ....pour faire court, avec la Golden 4, j'ai l'impression de retrouver l'Aspen 1, en particulier je lui trouve une très bonne capacité à me donner des infos sur la masse d'air, elle est très simple avec je suppose la sécurité passive d'une EN B. Du coup; comme je me faisais plaisir avec l'Aspen et que je réalisais de beaux vols, pourquoi aller vers une voile + perf ???
par contre j'avais oublié que le matos était si cher, du coup j'achète en juillet un secour light, en novembre une sellette Woody Valley Peak (même modèle que la dernière que j'avais eu) et enfin le 01/01/2016, une Golden 4 24 du plus beau orange/bleu.
Coté constat "vol" : Peu à peu les décos sont je pense meilleurs qu'avant l'arret, entre autre avec une vraie tempo/Controle/décision (en déco dos/voile). Je suppose que la facilité des voiles y ait pour beaucoup.... Par contre attention aux suspentes non gainées, suivant la couleur elles sont "invisibles" sur le déco. En vol, l'apprentissage du planeur m'aide beaucoup, je ne savais pas voler sans vario, je suis passé à l'opposé, je n'ai plus envie d'en avoir un. Comme en planeur ou l'instructeur me cachait les instruments, ça permet de lever la tête, de regarder loin, le relief, les éléments visuels, les autres (tour d'horizon visuel ttes les 10 sec environ en planeur)..... Coté attéro, du 1er au dernier vol de cette année, je n'ai eu aucune appréhension, aucun problème, anticiper, être au vent du terrain, avoir la possibiliter de changer d'avis et ne plus en changer qaund il n'est plus temps, donc avoir de la marge, construire l'approche, longue finale, sortir de la sellette, être en vitesse max (bon ça rame quand même un toutmou), toujours gérer le trafic, on sait jamais qu'un ULM ou un Delta ne traine par là (là aussi réflfexe du planeur, c'est hallucinant ce que les vélivoles n'aiment pas les ULM).
</t>
  </si>
  <si>
    <t>Stream 26</t>
  </si>
  <si>
    <t>Sol Synergy 2</t>
  </si>
  <si>
    <t>Petit plaf mais bien joli vol, La Husse, Pomp à Cham</t>
  </si>
  <si>
    <t>2200 au dessus du 700, ça n'a pas l'air de tenir au dessus de Val Louron, alors je pars vers le N sur la ligne de crête. Transition vers les faces Ouest en passant au dessus du lac d'Avajan. Un bon moment de plaisir dans une petite combe à coté de Mont e, thermo fynamique puis retur à l'attéro de Génos.</t>
  </si>
  <si>
    <t>Classique Arbasienne, La Husse, Pompe à Cham. Une aérologie un peu spéciale et surtout une voils qui a bcp de roulis et un virag étrange, un peu comme si elle amorçait bien le virage, se bloquait puis repartait un moment après …</t>
  </si>
  <si>
    <t>1er vol avec la Stream; tout semble Ok. Stream = Aspen en République Tchèque …</t>
  </si>
  <si>
    <t>Roquefort / Garonne</t>
  </si>
  <si>
    <t>Anticyclonique en flus de sud</t>
  </si>
  <si>
    <t>NO modéré</t>
  </si>
  <si>
    <t>Vent limite, décollage rapide dans un creux, tout de suite ça monte fort, après avoir pris 400 m, je reviens devant, je balade un peu, je reprends un thermique que je quitte exprès pour aller me poser, c'est fort et mieux vaut rentrer tranquillou avec Flo et Loulou.</t>
  </si>
  <si>
    <t>Moustier Ste Marie</t>
  </si>
  <si>
    <t>Alpamayo</t>
  </si>
  <si>
    <t>Bi avec Lucas</t>
  </si>
  <si>
    <t>Bi avec Quentin, bon thermique à Bourrus, de quoi aller faire le tour de la Husse, retour par la crête d'Herran avec des bonns bulles.</t>
  </si>
  <si>
    <t>Fortes conditions, A/R jusqu'au déco à Vincent.</t>
  </si>
  <si>
    <t>Bi avec Jean Marc</t>
  </si>
  <si>
    <t>Déco à 10h15, il y avait de quoi tenir et même rester,mais j'ai pas su rester ….</t>
  </si>
  <si>
    <t>instable en basse couche avec du NE</t>
  </si>
  <si>
    <t xml:space="preserve">Un bon tour du boacl, </t>
  </si>
  <si>
    <t>Pène Nère, Herbe Blanche, relais</t>
  </si>
  <si>
    <t>Décollé peut-être un pau tard (12h30), je trouve un premier thermique à Techous qui me monte vers 1900 puis plus rien. Je quitte la zone quand j'en ai marre de me faire branler certainement sous le vent. En direction de l'aérordome; je retrouve du thermique après le téléporté dasn lequel je regagne 2-300 m. Led retour est juste pour rentrer à l'aérodrome avec la brise qui s'est levé.</t>
  </si>
  <si>
    <t>Flux de No modéré</t>
  </si>
  <si>
    <t>Trop de No, au moins 15/20km/h; mauvaises sensations autant aller se poser.</t>
  </si>
  <si>
    <t>En stage cross avec les Tec'Ailes et Richard Penne. Après une longue ey hésitante attente dans le sectur d'herran, Richard nous fait passer au N du relais pour aller dans l'axe de St Girons. Je me pose à Montgauch, Franck à Moulis avec Richard. Patrick, Laurent se pose du coté d'Urau. Vol difficile avec toujours un peu de NO, le passge devant le relais est magique, je n'y serais jamais allé de moi même. A partir de Cazavet, il faut prendre vers le NE pour passer en seuil de piste d'Antichan et vier St Lizier sinon o est enfermé dans la brise de Moulis....</t>
  </si>
  <si>
    <t>Aspen , Golden puis Stream</t>
  </si>
  <si>
    <t>Anticyclonique léger N</t>
  </si>
  <si>
    <t>Déco vers 11h, mais ça tient sur Bourrus, qques thermiques puis direction attéro avec qques wings, tangages et 3,6 light</t>
  </si>
  <si>
    <t>Déco vers 12h30, bizarement ça monte plus difficilement que tout à l'heure, Bourrus, puis Soulan pendant 1h30 voir plus, enfin un plaf un peu plus haut me permet de rentrer vers Pène Blanque, passage au thermique à Cham mais trop sous le vent puis attéro....</t>
  </si>
  <si>
    <t>Stream</t>
  </si>
  <si>
    <t>Début difficile avec un pt bas à 750 m à Bourrus, après tout est plus facile, un epu plus de 1800 m sur la face sud de la Husse, retour vers le déco, re La Husse pour le plaisir de rmonter à plus de 1900 m cette fois, direct vers la pompe à Cham,,,</t>
  </si>
  <si>
    <t>Instablle sans vent</t>
  </si>
  <si>
    <t>Gradient Aspen 4 26</t>
  </si>
  <si>
    <t>Gradient Aspen 4 27</t>
  </si>
  <si>
    <t>Gradient Golden 4 26</t>
  </si>
  <si>
    <t>Jo, mon Père, se fait tuer par une voiture lors d'une de ses sorties en vélo, je décide d'arrêter.</t>
  </si>
  <si>
    <t>Gradient Nevada 26</t>
  </si>
  <si>
    <t>Vol trop court, mais les commandes sont bcp trop lourdes pour moi, un camion.</t>
  </si>
  <si>
    <t>Qques wings timides</t>
  </si>
  <si>
    <t>Commandes très physiques, voile type poutre, ça bouge à peine, par contre suite à des "gesticulations", accéléré à 1/3,  1/3 de fermeture à G, la voile par rapidement... à Dr. et j'ai du mal à calmer le roulis, trop à contre. Je la trouve "sourde" un peu comme les Apco aux tissus enduits du début de mon activité. Par contre des perfs impressionnantes, c'est quand même un autre monde que l'Aspen 1, la seule l'unique, la vraie ....</t>
  </si>
  <si>
    <t>Bel météo, bien instable, même si les plfas sont bas, hauteur de la Husse. Mais je ne suis pas très en forme et j'abrège le vol.</t>
  </si>
  <si>
    <t>Décollage tot, 11h15 ? Après un passage à la Husse, ditrection la plaine, mais je ne trouve rien et jen'arrive pas à me refaire en revenat vers Arbas. Pourtant il y avait qques chose.</t>
  </si>
  <si>
    <t>Remonté aussitôt (Jean Marc. Réunion/Herran), je réalise mon plus beau bvol depuis la reprise, quasi 1500 ? Devant le déco, balade en direction de la Husse, un peu en arrière de Bourrus, retour vers le déco, thermique bien devant, Cornudère jusqu'à herbes blanches presque tjrs à une bonne centaine de mètres au dessus de la crête, retour idem, pompe à Cham et tentative de reprise à Bourrus, c'est presque ça, mais ....</t>
  </si>
  <si>
    <t>Fier d'être le seul du jour à avoir réussi à accrocher le thermique qui m'a ensuite permis de monter jusqu'à Pène Blanque</t>
  </si>
  <si>
    <t>Marque</t>
  </si>
  <si>
    <t>Modèle</t>
  </si>
  <si>
    <t>taille</t>
  </si>
  <si>
    <t>poids</t>
  </si>
  <si>
    <t>Réversible</t>
  </si>
  <si>
    <t>Poche secours sous cutales</t>
  </si>
  <si>
    <t>Airbag complet</t>
  </si>
  <si>
    <t>Poches rgt sellettes</t>
  </si>
  <si>
    <t>Profondeur assise</t>
  </si>
  <si>
    <t>Largeur assise</t>
  </si>
  <si>
    <t>hauteur assise/maillons</t>
  </si>
  <si>
    <t>Supair</t>
  </si>
  <si>
    <t>Altirando2 RS</t>
  </si>
  <si>
    <t>90 litres</t>
  </si>
  <si>
    <t>Pré quipement cale pieds</t>
  </si>
  <si>
    <t>Oui, pré gonflé</t>
  </si>
  <si>
    <t>L</t>
  </si>
  <si>
    <t>Accélarateur</t>
  </si>
  <si>
    <t>Oui, poulies Harken</t>
  </si>
  <si>
    <t>1 à gauche</t>
  </si>
  <si>
    <t>Gin</t>
  </si>
  <si>
    <t>Non</t>
  </si>
  <si>
    <t>Gingo Airlite</t>
  </si>
  <si>
    <t>2 latérales</t>
  </si>
  <si>
    <t>Oui</t>
  </si>
  <si>
    <t>Option</t>
  </si>
  <si>
    <t>Plateau carbone (-100g)</t>
  </si>
  <si>
    <t>M</t>
  </si>
  <si>
    <t>Taille pilote</t>
  </si>
  <si>
    <t>170-185</t>
  </si>
  <si>
    <t>2 par coté</t>
  </si>
  <si>
    <t>Verso</t>
  </si>
  <si>
    <t>Oui largable</t>
  </si>
  <si>
    <t>Oui, ajustable</t>
  </si>
  <si>
    <t>90 litres + 12 pour casque</t>
  </si>
  <si>
    <t>Sky New gen</t>
  </si>
  <si>
    <t>Reverse 3</t>
  </si>
  <si>
    <t xml:space="preserve">Oui </t>
  </si>
  <si>
    <t>163-183</t>
  </si>
  <si>
    <t>Enorme et pas beau</t>
  </si>
  <si>
    <t>Woody Valley</t>
  </si>
  <si>
    <t>Wani</t>
  </si>
  <si>
    <t>Voyager +</t>
  </si>
  <si>
    <t>Ajustable</t>
  </si>
  <si>
    <t>170-180</t>
  </si>
  <si>
    <t>Non, que Inf, mais pré gonflé</t>
  </si>
  <si>
    <t>Advance</t>
  </si>
  <si>
    <t>Progress 2</t>
  </si>
  <si>
    <t>Oui, Poulies Ronstan</t>
  </si>
  <si>
    <t>165-187</t>
  </si>
  <si>
    <t>75 litres</t>
  </si>
  <si>
    <t>Pas de planche</t>
  </si>
  <si>
    <t>Non, bas du dos</t>
  </si>
  <si>
    <t>Oui 85 €</t>
  </si>
  <si>
    <t>Swing</t>
  </si>
  <si>
    <t>Connect Reverse Evo</t>
  </si>
  <si>
    <t>170-80kgs</t>
  </si>
  <si>
    <t>oui, multi alvéoles</t>
  </si>
  <si>
    <t>Oui, grandes poulies</t>
  </si>
  <si>
    <t>Triple7 Rooks 2</t>
  </si>
  <si>
    <t>Petites conditions avant l'arrivée d'un front avec de l'ouest.</t>
  </si>
  <si>
    <t>Voile bien sympa, commandes comme je les aime, pas trop dures, à priori de bonnes perfs, ça semble bien voler, accéléré elle à pas l'air de trop plonger, mais tout ça c'est au pif…. Par contre je n'aime pas les suspentes hautes, on les voit très mal et les épissures sont très moches. Le virage est un peu bizarre, à mi commande, elle plonge très vite comme pour partir en 360, il faut soit relever la main, soit la contrée à l'ext.. D'ailleurs elle a l'air d'envoyer fort en wings et autres. Mais en le trav aillant ça doit s'amliorer. En attendant elle trounicote bien et monte comme les top guns....ou presque.</t>
  </si>
  <si>
    <t>Cale pied fourni</t>
  </si>
  <si>
    <t>Altix²</t>
  </si>
  <si>
    <t>Kortel</t>
  </si>
  <si>
    <t>Karma 2</t>
  </si>
  <si>
    <t>Oui + Crashbox</t>
  </si>
  <si>
    <t>Fourni</t>
  </si>
  <si>
    <t>Calle pied. Il y aurait 2 millésime, le premier serait de meilleure qualité.</t>
  </si>
  <si>
    <t>5 ans sont passés, j'ai fait 3 saisons de planeurs, mais trop d'éléments me repoussent du VV. Je décide de ré essayer le parapente, à Arbas avec Surfair (Thierry et Richard), retour en pente école, nouveau premier grand vol, je n'ai pas perdu le fond, comme en vélo parait il, on oublie pas les fondamentaux... de là à dire que je vais vraiment m'y remettre .... Inch'Allah.</t>
  </si>
  <si>
    <t>Déco</t>
  </si>
  <si>
    <t>Attéro</t>
  </si>
  <si>
    <t>Pyrénées</t>
  </si>
  <si>
    <t>Sud-Ouest plaine</t>
  </si>
  <si>
    <t>Sarrant</t>
  </si>
  <si>
    <t>Après l'achat d'un secours mi 2015 (Supair Light 1,5kg : 320€), puis d'une sellette à l'automne (Woody Valley Peak 1, acheté 170€ à Marie Paule … comme ça la boucle est fermée…), j'achète une Golden 4 taille 24 d'Oct 2013 une soixantaine d'heures de vol à Yannick Hamard de Pau : 1800€)</t>
  </si>
  <si>
    <t>Arrivée la veille à 20h à Ens, j'ai dormis au parking après avoir fait 1/2 heures de soaring. Aujourd'hui vendredi 21/07, je suis à 9h30 au télésiège des Myrtille. Je monte pendant une bonne 1/2 h pour trouver un déco correct quoique un peu scabreux en face Est à 2200m en dessous du Cap de Toudous. Il y a de bons passages de face, de peur que ça forcisse et que je ne puisse plus décollé, je me bouge pour décoller vers 10h30 après un déco raté ... la crainte du lieu certainement.... Donc 8h30 au soleil ... même si j'ai mis une polaire sous la combi et les gros gants, je pense être posé dans qques minutes. C'est ce qui a failli ce passer, sauf qu'en dessous de la pompe au vautour à hauteur de la station de Val Louron, je trouve des petits quelques choses qui me font gagner qques dizaiens mètres. Une voile me rejoint, traverse tout et s'en va. Je fais un point bas, à 1600 m quand même, je m'apprête à partir vers l'attéro quand enfin, je trouve un thermique qui me sort. Faut dire que le ciel était balisé par une bonne vingtaine de vautours, vautours que j'ai croisé tout au long du vol. Peu à peu, et avec pas mal de prudence, j'ai réussi à monter au dessus de 3000. Prudence, car avec le Sud-Ouest annoncé, je m'attendais à pas mal de turbulences. J'en ai croisé .... De plus en plus en allant vers le sud, du coup, un peu décalé au dessus du Pic de Sarouye, j'ai décidé de partir dans la bonne direction, le NE. Parti à 3300, j'arrive sur les crêtes dans le prolongement nord du Col de Peyrsourde à 2400. Avec des pointes à un plus de 55 kmh / sol, le So est bien là. Arrivée sur cette crête, c'est facile, y'avait qu'à suivre les vautours. Jamais vu autant de si près, de très près d'ailleurs, j'ai cru m'en prendre un... Je pensais qu'ils faisaient gaffes pour 2 (eux et moi), et ben j'en suis plus si sûr... Ensuite j'ai continué vers l'Antenac, plus exactement le Pic Ouillé, un peu au nord. Là j'ai failli partir vers le Burat pour aller vers Arbas, mais pour une fois, j'ai tenté le retour. J'ai bien, fait, le SO était peut-être pas si fort, ou alors je sais pas quoi, mais j'ai réussi à revenir vers la Mont Né où je me suis bien refait (2600 à 3100 environ), ensuite j'ai plutôt abrégé le vol, en allant tout droit vers le Lac de Génos ça faisait que monter, faut dire que le cum au dessus était bien gris foncé, noir clair quoi ..., pour un faire un triangle, j'ai pris un coup vers l'ouest, pour retourver la crête qui mène au décos de Val Louron, comme j'étais toujours aussi haut et que ça faisait que monter, j'ai tiré tout droit vers l'arrivée du télésiège des myrtilles histoire d'être sûr de boucler la boucle et ensuite j'ai été très content d'aller me poser. Faut dire que je me suis pelé à partir du moment où j'ai dépassé les 3000, que j'avais l'index de la main droite que je ne sentais plus, bref après un peu plus de 3h, j'étais HS ... voilà ce que c'est que de voler tout les 1 mois 1/2 .... N'empêche, quel pied !</t>
  </si>
  <si>
    <t xml:space="preserve">Vérification en réel de ce que donne Arbas en NO, </t>
  </si>
  <si>
    <t>NO en altitude</t>
  </si>
  <si>
    <t xml:space="preserve">Parti pour "voleter", je fais un beau vol à la sortie. Difficile à caus e du vent, ouest en basse couche, No plus haut. Avec des points à plus de 50km/h bras haut, il était difficile de sortir de l'axe et de craber. C'est pourtant ce que j'aurai du faire pour passer plus au nord de ma fin de parcours </t>
  </si>
  <si>
    <t>Cornudère fac sud, Orgibet</t>
  </si>
  <si>
    <t>Jean-Marc</t>
  </si>
  <si>
    <t>frédéric</t>
  </si>
  <si>
    <t>Céline</t>
  </si>
  <si>
    <t>Valluna 28</t>
  </si>
  <si>
    <t>Super, Techous, Cap de Pouye, attéro à St Aventin</t>
  </si>
  <si>
    <t>Golden 26</t>
  </si>
  <si>
    <t>Seconde chance, décollage tard, vers 15h30, cette fois, j'accroche à Bourrus, 1350 à Herran, 1500 à la pompe à Cham, 1800 au dessus de Piscatel, Herbe blanche, 1700 de nouveau à Piscatel, essai vers Cornudère, passage au déco, re pompe à cham, re Piscatel, re pompe à cham, le relais, 2/3 kms vers Chein dessus, Qqueq wings, 360, Attéro</t>
  </si>
  <si>
    <t xml:space="preserve">Gradient Aspen 2 </t>
  </si>
  <si>
    <t>Brise</t>
  </si>
  <si>
    <t>Parti à 18h du boulot, arrivée à 19h50 à Ens, décolé à 19h55 et attérit au déco à 20h30, super Ens …</t>
  </si>
  <si>
    <t>La pression atmosphérique parait forte pour qu'Arbas fonctionne bien. Du coup nous tentons Superbagnères où les jours précédents les plafs sont drolement montés, la veille 3700 pour Patrick Hadjaj. Sur la route, nous voyons les premières barbulles au dessus des faces sud coté Espagne. A Luchon, grosse surprise, la neige à depuis samedi quasiment disparue des versants sud. Au déco vers 11h, on fait l'effort de manger un sandwich, on sait jamais que le vol soit long. Autre bon signe, Pierre Deblushère arrive ... le bon coup n'est pas loin. Je décolle à 11h30, au dessus des pistes de ski de Techous, je prend un premier thermique, un peu timide, mais il me monte à 2500, suffisant pour aller vers le Cap de Pouye. Là, je reprends tout de suite un bon thermique pour de nouveau 2500m. La haute montagne est encore enneigée, j'opte pour les versants sud au dessus de Cazaut de L'Arboust. Comme je suis haut, je remonte assez loin vers le col de Peyresourde, et quand ma route croise les premières pentes je reviens en direction de Luchon, en longeant les versants sud jusqu'à trouver un bon thermique au dessus de Cazaut. Mais quelque chose ne va pas. Je suis poussé par du vent de SO, comme le thermique qui décale méchamment vers l'Antenac. Je le perd vers 1500 et comme un C.. retente d'aller vers le col de Peyresourde. Je comprends enfin mon erreur et reviens au dessus de Cazaut. Je retrouve mon thermique, juste un peu plus loin. Au début ça va, ensuite, Monsieur Thermique m'en fait voir de toutes les couleurs. Etroit, très puissant, je fait du rodéo sur son dos. Je m'accroche, je décalle, je monte, jusqu'à me retrouver quasiment au dessus de Cazaril. Quasiment 45' de vol pour être au dessus de Luchon ou presque, bizarre. Mais depuis le début du vol, les cums gonflent, en particulier au dessus de ma tête. A 3300 je quitte Cazaril pour aller vers le Burat, 50, 55 kmh au GPS, pas de doute, il y a du vent d'Ouest ou SO. Je reprends un thermique du coté du Montmajou, je glisse vers le sud du Burat, toujours entre 2700 et 2900, pour enfin transiter vers le Tuc de Pan. Je raccroche à 2000 m et prends un thermique assez faible au début pour devenir un bon 3/4 m/S à partir de 2900 et il m'emmêne au plaf du jour (un peu dans le nuage...mais chut!) à 3550. Je vois sous moi la station du Mourtis et dés que je retrouve de la visibilité horizontale, je dois me pencher en avant pour voir Arbas, but du vol. Je suis tellement haut que je vais jusqu'à Herbes blanches histoire d'agrandir un peu le parcours et j'arrive avec 1000m de gaz vertical Arbas. L'année dernière j'avais fait Arbas - Luchon, je fais le retour aujourd'hui, avec une facilité déconcertante sauf au début pour sortir du "piège" de Cazaut de l'Arboust, mais posé à Arbas, très fatigué, tremblant, je suis fier de ce superbe vol.</t>
  </si>
  <si>
    <t>Flux de NO</t>
  </si>
  <si>
    <t>Essai vers Cazaril qui est déjà sous le vent …..</t>
  </si>
  <si>
    <t>J'avais bien intuité, le créneau était jouable. Arrivé vers 10h à Luchon, je suis en haut en 2 stop, le deuxième étant l'école de parapente de Toulouse qui faisait des bi.
Première surprise, c'est encore bien baché, la deuxième, y'a 40/50 cm de neige et je fais la trace pour aller jusqu'au déco.... c'est la première fois que ça m'arrive à Superbagnères.
Je commence à damer une piste de déco, les biplaceurs arrivent et rapidement nous en faisons deux vers l'est et une vers le sud. C'est de ce coté là que je fais un premier plouf.
C'est avec Freddy et Alain que je remonte pour un second déco vers 14h. Y'a des cums un peu partout, mais pas de ceux qu'on aime, plutôt des machins plats et mous qui se disloquent de droite et de gauche. Je vais direct à Herran, les bi de Freddy et Alain juste derrière. Ca tient en dynamique au dessus des lacets, mais c'est face ouest que ça ce joue. La face est ensolleillée et avec l'instabilité de la journée, partent de là de gros thermiques, étroits et puissants. La première fois, je monte vers 1600 et transite vers la crête après Herran, là idem, un gros thermique me monte jusqu'à 2050, dans les barbulles au niveau du Poujastou. Je pars en direction du Montmajou, mais à mi distance, ça plombe trop, du coup je retourne à Herran, je retrouve le thermique face ouest, je repasse au Poujastou et cette fois je pars plein N, pour essayer d'aller raccrocher les crêtes sous le Burat. Mais la brise est trop forte, je suis contrée et quand ça commence à trop brasser, je fais demi tour vers ... Herran. 2 heures sont passées, ça tient mais ne monte plus, du coup je vais me poser en profitant du gain pour faire qques wings et 360°. A l'attéro y'a bien 25/30 de brise, du coup je fais des gonflages, mais je finis pas arrêter car à certains moments, je me fais arracher par des rafales.....
Bilan, 2 vols de 15' et 2h, une grosse séance d'entrainement dans des thermiques comme je les aime, francs et puissants, des tentatives face à la brise qui me font mieux comprendre la brise et le vol sous le vent, en particulier je commence à comprendre le comportement de ma voile quand je suis là où je ne devrait pas être.... et accessoirement, je valide aussi mon changement d'équipement puisque j'ai fait passer mon secours en ventrale et que du coup ma voile va de nouveau droit ....
Y'a plus qu'à attendre et être là le bon jour pour faire un bon gros vol .....</t>
  </si>
  <si>
    <t>Essai de la vulcan, très physique au commande, un peu la Sérak avec des perfs en plus et moins de confort et d'agrément en virage.</t>
  </si>
  <si>
    <t>Compet B de Luchon 1er manche : Super - Col d'Azet - Pic du Lion - Granges d'Astau - Station sces 4kms de Luchon - Aérodrome. Je boucle (2h36 à partir de monj entrée dans la B0), je boucle et finis 12ième juste devant Philippe Flament, dernier à boucler sur une cinquantaine de pilotes</t>
  </si>
  <si>
    <t>Perturb d'Ouest à venir.</t>
  </si>
  <si>
    <t>96-98</t>
  </si>
  <si>
    <t>Nbre de vols</t>
  </si>
  <si>
    <t>Nbre d'heures</t>
  </si>
  <si>
    <t>Sérak</t>
  </si>
  <si>
    <t>Astral 1</t>
  </si>
  <si>
    <t>Quarx 1-M</t>
  </si>
  <si>
    <t>Quarx puis Sérak M</t>
  </si>
  <si>
    <t>Epsilon 3-28</t>
  </si>
  <si>
    <t>Stages</t>
  </si>
  <si>
    <t>Sérak puis Aspen 1-26</t>
  </si>
  <si>
    <t>Distance en cross</t>
  </si>
  <si>
    <t>Nbre de cross</t>
  </si>
  <si>
    <t>Gradient Aspen 26 démo</t>
  </si>
  <si>
    <t>Aspen 26</t>
  </si>
  <si>
    <t>Arbizon</t>
  </si>
  <si>
    <t>Anticyclonique avec flux de NE</t>
  </si>
  <si>
    <t>St Lary</t>
  </si>
  <si>
    <t>Superbagnères</t>
  </si>
  <si>
    <t>Anticyclonique flux de sud-est</t>
  </si>
  <si>
    <t>Thermique difficile après Techous, puis un peu de face sud au dessus de la vallée du Lys, puis plus rien ….</t>
  </si>
  <si>
    <t>Thermique sympa à la sortie du déco, s'arrétant parfois pour recommencer après une pause, à 2000 environ, départ pour les faces sud de  l'Escalette, mais plus rier de significatif, posé à coté de Marignac après avoir traversé pas mal de petites turbulences</t>
  </si>
  <si>
    <t>Anticyclone, vent de SO en altitude</t>
  </si>
  <si>
    <t xml:space="preserve">Dimanche soir, Patrick Violin, me signale que Freddy et qques autres tentent demain Luchon - Andorre. Oups, ça me paraît vraiment un très gros morceau pour moi, mais bon, je vais essayer. RdV le 26/04 à Luchon au Métropole, café, on trainasse, pour partir vers l'ouest, pas la peine de se presser. J'en profite pour récupérer une voile, j'ai vendu la Sérak et je suis à pied. Merci à Marc Boyer, ça me donne l'occasion d'essayer une Cayenne. Je me retrouve au déco de Super avec Patrick Hadjaj, Freddy, Alain Bron et Laurent Laporte. Entre la nouvelle voile et l'ambition du projet, le stress est à son comble, du coup je néglige de préparer ma voile et il va falloir que je m'y reprenne à 5 ou 6 fois avant de réussir à décoller. Il est un bon 14h, la brise est soutenu de travers G au déco. Du coup, les furieux transitent vers Herran quand j'en suis à gratter au déco pour prendre qques mètres qui devraient me faciliter la vie à Herran. Je m'y retrouve quand Freddy et Patrick sont déjà au dessus du Mail de cricq. En revanche, Laurent et Alain sont encore là, pas si facile que ça de sortir d'Herran. Après qques aller/retour je prends l'option droite (donc en passant au dessus de la machine à laver chère à Canard). Bonne option, je décale le thermique, je m'applique et je sors juste un peu après Alain qui est resté sur l'option "normale". Seul Laurent pas trés en jambe en restera là, un peu plus tard il se posera sur le Mail de Cricq, redécollera, se posera à St Mamet et viendra rechercher la petite troupe en Espagne. Merci Laurent et à charge de reciprocité. Nous sommes donc 4 du coté du Mail de Cricq et Poujastou, à patienter à 2700m environ. Patrick donne le signale de départ pour L'Espagne, direction E/SE, le Chandellier (en vrai Mtne d'Uishèra). Je le suis, mais un peu plus bas, déjà à contretemps, qques minutes auparavant j'avais 200 m de plus et quand j'arrive au chandellier, Patrick arrivé plus haut en est déjà sorti ! Plus bas je bataille une dizaine de minutes, arrive Alain qui sort trés vite, puis Freddy avec lequel j'arrive enfin à m'extraire. A 3000 environ, je prend la suite des 3 pressés toujours vers l'Est, SE. La suite sera finalement rapide, 4 transitions et 3 thermiques plus loin (Cap des Crèdos, Serra dé Samoni et Cap de Cabrera au dessus de Salardu) , je me pose avant le col de la Bonaigua, juste après Baqueira, Alain, Patrick et Freddy se posent juste après le col. Je rentre en stop jusqu'à Luchon, Laurent viens récupérer les 3 autres et ils se taperont l'appéro / tapas à Vielha un peu plus tard. Luchon - Andorre ce sera pas pour aujourd'hui, mais ça je m'y attendais, en regardant le plan de vol avant de partir, je m'étais fixé ce fameux col de Bonaigua comme but, c'est Ok, le reste, trop gros pour moi. En revanche, les leçons du jour sont nombreuses, en voici quelques unes :
- Pour être sur un bon coup, il faut être informé, merci Canard,
- Pour voler il faut une voile, merci Marc Boyer, je n'achèterai pas la Cayenne car trop physique aux commandes, mais une autre fois peut-être, une autre voile ?
- Pour aller vers l'Est à partir du Mail de Cricq, il faut sortir d'Herran, un vieux merci à des compétiteurs dont Jean Brenner, qui il y a 3 ans m'ont montré comment décaller le thermique de droite, méthode dont j'use à chacun de mes passages de ce coté là.
- Pour quitter la "bulle" Luchonnaise pour aller vers l'Est, il vaut mieux être accompagné, c'est plutôt hostile, seul je n'aurai jamais osé, merci à Patrick Hadjaj et à Freddy, leurs conseils avant le vol puis à la radio valaient ceux des meilleurs.
- Pour revenir d'Espagne, il faut du temps et de la patience, merci aux conducteurs des voitures qui m'ont ramené et à Laurent qui est allé récupérer la petite troupe.
Conclusions, je connais maintenant un peu les 35 premiers kms, il en reste  50 de plus avant de se poser un jour peut-être en Andorre, la route est longue et le thermique versatile. Gaffe quand même de ce coté là, on vole sur des crêtes orientées sud avec la brise qui remonte le Val d'Aran et qui à partir de Vielha est Ouest -Est, autant dire qu'il faut pas trop gratter prés du relief.
</t>
  </si>
  <si>
    <t>Après 1/2 h de gonflage à l'attéro, le vent baissant, je monte au déco. Le vent est assez fort, d'intensité variable (passage de thermique?). Le déco de passe bien, je teste peu à peu les abords du déco, je suis bien contré sur la gauche, la tendance ouest est marquée. Je trouve une prmière fois, sur la D du déco quelque chose qui me monte d'une vingtaine de m. Au bout d'une quinzaine de minutes, aprés avoir fait un point bas suite à une tentative vers la G, je trouve quelque chose de plus fort, toujours sur la D. En insistant en avançant, ça monte toujours. Je trouve une bulle, et je fais une première boucle dedans, avec un bon gain. Peu à peu, en revenant à la charge, toujours plus à D du déco, et toujours en repartant de l'avant, je monte jusqu'à +800m. A chaque fois que je me laisse glisser vers l'arrière, c'est moins bon, à chaque fois, je remonte au vent,à chaque fois ça paie jusqu'à enrouler du +3 assez régulier. Avec une bonne marge / nuage, je pars vent de cul, trés vite.... Je marsouine un peu, je refais un ou deux retour face au vent , je tente le bord ensoleillé du nuage ... mais peu à peu je redescend à +600 par rapport au déco, un peu à l'O de Montesquieu Volvestre. Je choisis le confort de la route qui part vers le sud, pas envie de partir vent de cul vers le relief où je ne vois pas les routes qui me permettraient de revenir à Gensac. Il me faut bien les 4/500 m /sol qui me reste pour me positionner correctement par rapport à la route et à l'attéro que je vise. Les 100 dernier m se font vertical sol, j'attéris mains hautes sans vitesse / sol. Je me retourne trés vivement, je cours vers la voile et malgrés avoir failli me casser la G, j'arrive à affaler. Premier vole en plaine, je stress bcp plus qu'en montagne, je m'y ferais sans doute.</t>
  </si>
  <si>
    <t>Seul, je prends ma decision quand je veux, je suis responsable, j'aime ça.</t>
  </si>
  <si>
    <t>Dynamique moyen, difficile de prendre de la hauteur, en général le + haut, bon contrôle de la voile en général</t>
  </si>
  <si>
    <t>600, dos voile, pas trop de contrôle visuel</t>
  </si>
  <si>
    <t>A mi pente catastrophique entre parking et déco du officiel, beaucoup trop vite, tout ça pour pisser et récupérer le voiture!</t>
  </si>
  <si>
    <t>360 x 2 G et D engagés léger.</t>
  </si>
  <si>
    <t>Plat d'Adet,</t>
  </si>
  <si>
    <t>Petits thermiques hachés mais puissant à partir de la grange au dessus des lacets d'Herran qui me mène jusqu'à la crête. Trop froid, posé sur le crête qu dessus des Granges de Grascouéou pour m'habiller… Quel dommage de ne pas mettre préparer mieux, jk'ai les clés de la voiture sur moi, et pas mes papiers....</t>
  </si>
  <si>
    <t>Granges de Grascouéou alimenté fort et turbulent</t>
  </si>
  <si>
    <t>Quel dommage…. Après avoir encore un peu gratter, je me rapatrie au dessus des granges de Vignec pour me mettre en sécurité de la brise et là, grosse fermeture asymétrique, début d'autorot à D. puis attaque oblique à gauche avec une grosse abattée. Et grosse frayeur, c'est mon plus important incident de vol.</t>
  </si>
  <si>
    <t>Du 700 (Delta), dos à la voile alors que des bouffes arrivent par l'arrière</t>
  </si>
  <si>
    <t>En milieu de la combe devant le déco, je prends un beau thermique qui devient vite chahuteux. En prévenant Daniel, Nathalie et Belem, je prends une belle fermeture qui cravate ma voile, à droite comlme d'hab. Ensuite grosse bagarre avec le thermique, jusqu'à 4.5 intégré. Puis traversée de la vallée vers l'altiport, rien, lutte face au vent pour avancer au dessu du lac pour rentrée à l'attéro.</t>
  </si>
  <si>
    <t>Face voile avec un peu de brise</t>
  </si>
  <si>
    <t>Pas grand chose à gratter, le temps de quelques exercices dont des fermetures pour essayer de comprendre celle du matin.</t>
  </si>
  <si>
    <t>Wings, Fermeture assymétrique</t>
  </si>
  <si>
    <t>Vite trop froid et trop absorber à surveiller les Nanas, pas de plaisir, je me pose au déco</t>
  </si>
  <si>
    <t>360°</t>
  </si>
  <si>
    <t>face voile du parking à Ens</t>
  </si>
  <si>
    <t>Régime de brise faible</t>
  </si>
  <si>
    <t>Après une vaine attente à la Serre de Soulan, je décole devant la compèt. Direction Ens direct, je mazègues sans réussir grand chose, tout le monde vole plus haut quand j'arrive enfin à trouver le thermique. Là je m'apperçois que la meute de la compèt arrive, grosse inquiétude, Ricaud se précipite dans mon thermique et rapidement me passe au dessus. Au moment ou je trouve que ça ne monte plus et qu'il serait temps de partir, je vois Ricaud dans la direction du Col d'Azet. Je suis, avec une petite dizaine d'autre. On pase rapidement le peigne, ensuite long mazègage sur la dernière crête avant le col; avant d'abandonner 1h30 plus tard. Posé, nous assistons à une démonstartion de Ricaud. Sur son deuxième tour (Col d'Azet / Plat d'Adet), il est bloqué comme nous, retour vers l'aval, appui sur la facesud, retour au peigne ou il réussi à prendre jusqu'à la crête pour transiter direct au col et retour à Ens.</t>
  </si>
  <si>
    <t>Lire compte rendu sous Word</t>
  </si>
  <si>
    <t>Rassurant après les incidents de la veille, il faut que je tienne mieux la voile, et que je sois plus concentré</t>
  </si>
  <si>
    <t>Sud-ouest, vent modéré, face voile seul, chahuté avant de trouver le cap</t>
  </si>
  <si>
    <t xml:space="preserve">Thermique, difficile à trouver, un super de 1500 à 2360 </t>
  </si>
  <si>
    <t>A l'attéro,  en cherchant à le survoler pour infos parents, aux oreilles</t>
  </si>
  <si>
    <t>Cross et thermique</t>
  </si>
  <si>
    <t>Bonne bataille pour tenir sur la crête des antennes, un peu effrayé par l'ascenseur, quitté avant le nuage et ça monté encore</t>
  </si>
  <si>
    <t>Ecole Aérogliss</t>
  </si>
  <si>
    <t>Wing mieux</t>
  </si>
  <si>
    <t>Ca commence à rentrer mieux à droite qu'à gauche</t>
  </si>
  <si>
    <t>Sud-ouest, dos voile</t>
  </si>
  <si>
    <t>Gensac</t>
  </si>
  <si>
    <t>Lubéron</t>
  </si>
  <si>
    <t>Craignant que le plafond se ferme, entrée de NO de la mer de nuage de la plaine, je préfère aller me poser. Finalement le ciel restera ouvert</t>
  </si>
  <si>
    <t>Thermique faible versant est, couche nuageuse, rentrée très limite</t>
  </si>
  <si>
    <t>Ecole Aérogliss, sur la finesse</t>
  </si>
  <si>
    <t>Attéro au radada</t>
  </si>
  <si>
    <t>Saint-Jean Montclar</t>
  </si>
  <si>
    <t>Intermédiaire téléphérique</t>
  </si>
  <si>
    <t>Officiel</t>
  </si>
  <si>
    <t>Plouf, vague tentative en thermique</t>
  </si>
  <si>
    <t>Monchandon</t>
  </si>
  <si>
    <t>Antenne, vent travers léger, dos voile</t>
  </si>
  <si>
    <t>Plouf, un thermique ultra léger</t>
  </si>
  <si>
    <t>Champs prévu</t>
  </si>
  <si>
    <t>Wing et 360° tenu 5 trs</t>
  </si>
  <si>
    <t>Torreciudad</t>
  </si>
  <si>
    <t>Très longue hésitation avant de partir,(16h45) Face voile plutôt bon, vent météo soutenu</t>
  </si>
  <si>
    <t>Annecy</t>
  </si>
  <si>
    <t xml:space="preserve">Montmin, </t>
  </si>
  <si>
    <t>GIN Bandit taille L</t>
  </si>
  <si>
    <t>Montmin</t>
  </si>
  <si>
    <t>Prise de contact</t>
  </si>
  <si>
    <t>Pas osez transiter du Rochers des Roux vers Lanfonnet. Voile sympa, vite sur la tranche, difficile à faire tourner.</t>
  </si>
  <si>
    <t>Revard</t>
  </si>
  <si>
    <t>Flux de SO</t>
  </si>
  <si>
    <t>Le Sire, Passage du Croc</t>
  </si>
  <si>
    <t>SO, Cum costauds, brise forte</t>
  </si>
  <si>
    <t>Départ rapide par crainte de dévellopement des cums, Lanfonnet et Lanfon dans la foulée, transition difficile vers le Verrier, je reprends un thermique en milieu de vallée pour arrivée au dessus du vieux resto d'altitude, plaf avant de transiter au dessus d'Annecy, pas réussi à bien reprendre, descente inexorable jusqu'à poser à la visitation. Attention, la brise descend vers Annecy.</t>
  </si>
  <si>
    <t>SO, Cum finissant</t>
  </si>
  <si>
    <t>Ouverture du vol pour les gazelles</t>
  </si>
  <si>
    <t>Windtech Quarx</t>
  </si>
  <si>
    <t>Prise de contact, sympa, plané impressionnant, accés facile par rapport à ce que je pensais. Oreilles, 360, asymétrique sans problème.</t>
  </si>
  <si>
    <t>Puy de Dôme</t>
  </si>
  <si>
    <t>SO</t>
  </si>
  <si>
    <t>Pas compris comment tenir, stress du à l'inconnu de la transition vers l'attéro, finalement sans aucun problème, brise descendante.</t>
  </si>
  <si>
    <t>Soaring en dynamique avec qques thermiques</t>
  </si>
  <si>
    <t>Au déco, voulu et à peu prés correct, bien face au vent sans vitesse mais "train" rentré</t>
  </si>
  <si>
    <t>Qu'il est difficile de décoller tout seul, vent de sud à St Lary, bien atténué sur place</t>
  </si>
  <si>
    <t>Juste le temps de boire un coup et de nouveau face voile en vent faiblissant</t>
  </si>
  <si>
    <t>Limite pour tenir, il à fallu aller chercher les qques m nécessaire au retour déco</t>
  </si>
  <si>
    <t>Au déco, voulu et correct</t>
  </si>
  <si>
    <t>Ouf, la journée ce termine bien, ces deux vols, il a fallu aller les chercher avec les tripes.</t>
  </si>
  <si>
    <t>Intermédiaire, dos voile, vent léger travers D bon contrôle visuel</t>
  </si>
  <si>
    <t>360° à D enfin un peu engagé, pas réussi à G.</t>
  </si>
  <si>
    <t>Bon effet de la force centrifuge, il va falloir s'y habituer !</t>
  </si>
  <si>
    <t>Dourgnes</t>
  </si>
  <si>
    <t>NO 20 km/h</t>
  </si>
  <si>
    <t>ITV Zenith</t>
  </si>
  <si>
    <t>Plouf avec Patrick</t>
  </si>
  <si>
    <t>Anticyclonique</t>
  </si>
  <si>
    <t>Myrtilles</t>
  </si>
  <si>
    <t>Thermique avec un troupeau de vautour</t>
  </si>
  <si>
    <t>Anticyclonqiue</t>
  </si>
  <si>
    <t>GIN Nomad</t>
  </si>
  <si>
    <t>Flying Spirit</t>
  </si>
  <si>
    <t>Flying Syrius</t>
  </si>
  <si>
    <t>Marlens</t>
  </si>
  <si>
    <t>Chat</t>
  </si>
  <si>
    <t>Col de l'épine</t>
  </si>
  <si>
    <t>St Hilaire</t>
  </si>
  <si>
    <t>Planautes ^seul et sans vent, bon contrôle visuel, prise de vitesse pas assez franche</t>
  </si>
  <si>
    <t>Qques bulles, essai d'enroulage juste de quoi ralentir la descente</t>
  </si>
  <si>
    <t>Trop long car sans vent</t>
  </si>
  <si>
    <t>TDS</t>
  </si>
  <si>
    <t>Il est temps d'acheter un vario, ATTENTION aux éttéro sans vent, tjrs trop long</t>
  </si>
  <si>
    <t>Villemur/Tarn</t>
  </si>
  <si>
    <t>Terrain ULM Jean Brenner/ treuil, légère dérive à G / ligne</t>
  </si>
  <si>
    <t>Plouf, la vallée est belle même si la hauteur n'est pas très importante</t>
  </si>
  <si>
    <t>Pas mal le treuil, passé la première apréhension</t>
  </si>
  <si>
    <t>Terrain ULM Jean Brenner/ treuil, mieux mais manque de frein</t>
  </si>
  <si>
    <t>Plouf</t>
  </si>
  <si>
    <t>Terrain ULM Jean Brenner/ treuil, bon gain d'altitude</t>
  </si>
  <si>
    <t>Brunas, NO Très bien</t>
  </si>
  <si>
    <t>Bien</t>
  </si>
  <si>
    <t>Fusible</t>
  </si>
  <si>
    <t>Brunas NO, face voile Ok</t>
  </si>
  <si>
    <t>+ 40 m/déco en thermique sur falaise est, un peu secoué</t>
  </si>
  <si>
    <t>1er à tenir en thermique et en général plutôt au dessus des autres</t>
  </si>
  <si>
    <t>Brunas N, dos voile correct</t>
  </si>
  <si>
    <t>Descante constante pour tenté d'aller raccrocher le soaring nord</t>
  </si>
  <si>
    <t>Le Mourtis</t>
  </si>
  <si>
    <t>SE, insensible envol</t>
  </si>
  <si>
    <t>SO tendance</t>
  </si>
  <si>
    <t>Planote, sans vent, correct</t>
  </si>
  <si>
    <t>Le temps de quelques exercices, wings à la selette, essai accélérateur , cette fois il bien réglé, oreille asymétrique, fermeture asymétrique D &amp; G, wings appuyés, 360 … ouf.</t>
  </si>
  <si>
    <t>Vache au dans le vallon au dessus de Creissels</t>
  </si>
  <si>
    <t>1ère vache, un peu cherché…</t>
  </si>
  <si>
    <t>Puncho d'Agast, face voile après trois ratages (public et stress)</t>
  </si>
  <si>
    <t>Cross à remonter le tarn en thermique essentiellement</t>
  </si>
  <si>
    <t>Vache, bien prévue mais un peu rapide, peut être travers vent ?</t>
  </si>
  <si>
    <t>1er cross</t>
  </si>
  <si>
    <t>Ai suivi des voiles, des bons gains, pas de risque apparent, qques thermiques vigoureux</t>
  </si>
  <si>
    <t xml:space="preserve">Puncho d'Agast, face voile dépassement, fermeture, réouverture et déco, </t>
  </si>
  <si>
    <t>Dynamique , souvent en haut de grappe</t>
  </si>
  <si>
    <t>Correct à Millau plage</t>
  </si>
  <si>
    <t>Totalement autonome pour une première fréquentation, vent de travers attéro assez soutenu, Très correct</t>
  </si>
  <si>
    <t>+150</t>
  </si>
  <si>
    <t>Tenu de la voile, oreille, attéro vent soutenu</t>
  </si>
  <si>
    <t>Puncho d'Agast vers 20 h</t>
  </si>
  <si>
    <t>Restit et soaring le long des falaises rive gauche du Tarn, très laminaire, retour sans radio</t>
  </si>
  <si>
    <t>Autonome sans difficulté</t>
  </si>
  <si>
    <t>+100</t>
  </si>
  <si>
    <t>360° sur un tour Dr + G. essai deux tours et engagement voile</t>
  </si>
  <si>
    <t>Michel en vol avec moi</t>
  </si>
  <si>
    <t>Mon plus bean vol depuis le début, la première fois que je quitte la bulle terrain !!! Formidable…magnifique</t>
  </si>
  <si>
    <t>1er essai Astral : Commande un peu longue et réaction trop vive de ma part</t>
  </si>
  <si>
    <t>Correct</t>
  </si>
  <si>
    <t>Michel + Jeff</t>
  </si>
  <si>
    <t>Chaud l'Astral : Essai 360° 1 tour, trop engagé, trop vif, ressource et abattée très forte</t>
  </si>
  <si>
    <t>Beaucoup trop long, que ça plane…</t>
  </si>
  <si>
    <t>Brunas, plusieurs ratages</t>
  </si>
  <si>
    <t>Début de compréhension de la plage de manœuvre des commandes</t>
  </si>
  <si>
    <t>Mieux</t>
  </si>
  <si>
    <t>Brunas, presque parfait, avec un peu de vent et une prise d'altitude très lente à 1 ou 2 m sol</t>
  </si>
  <si>
    <t>Début de feeling des commandes</t>
  </si>
  <si>
    <t>Ok</t>
  </si>
  <si>
    <t xml:space="preserve">Bilan Stage : Reprise après 9 mois, moins d'appréhension, déco pas assez concentré, pas de contrôle visuel, vol correct, bonne tenu en tangage et roulis, attéro RAS. Apprendre rapidement déco face voile, 360° et premiers thermiques. </t>
  </si>
  <si>
    <t>EDEL Atlas</t>
  </si>
  <si>
    <t>St Lary Soulan</t>
  </si>
  <si>
    <t>Ens parking, face à la voile, dégonflage au retournement</t>
  </si>
  <si>
    <t>Soaring dans le dynamique, bon contrôle, descente aux oreilles</t>
  </si>
  <si>
    <t>Sailhan Ok</t>
  </si>
  <si>
    <t>Contrôle roulis et tangage / Oreilles</t>
  </si>
  <si>
    <t>Voiles bien amortie, cdes sensibles, agréables</t>
  </si>
  <si>
    <t>Les Orres Alpes Sud</t>
  </si>
  <si>
    <t>Manque de contrôle visuel, sinon Ok</t>
  </si>
  <si>
    <t>Pb selette (Supports cuisse) &amp; mauvais réglage</t>
  </si>
  <si>
    <t>Autonome correct à qques mètres du but (pente école Jenny Fair)</t>
  </si>
  <si>
    <t>Prise en main voile, réglages</t>
  </si>
  <si>
    <t>Agnès &amp; Bernard</t>
  </si>
  <si>
    <t>1èr contact avec ma voile, dont c'est le premier voile, bien géré pas de stress excessif</t>
  </si>
  <si>
    <t>Id</t>
  </si>
  <si>
    <t>Difficulté avec la sensibilté des cdes en particulier en tangage</t>
  </si>
  <si>
    <t>En crabe pour glisser le long de la pente, mais trop de vitesse malgrés les conseils</t>
  </si>
  <si>
    <t>STAGE PERF EVASION VOL LIBRE à MILLAU du 05 au 10 avril 99</t>
  </si>
  <si>
    <t>UP Vision Classic taille M</t>
  </si>
  <si>
    <t>Millau</t>
  </si>
  <si>
    <t>Brunas, Ok apré quelques gonfflages à l'arrière du déco</t>
  </si>
  <si>
    <t>Brunas</t>
  </si>
  <si>
    <t>Michel, Roland Thurel</t>
  </si>
  <si>
    <t>Soaring et thermique le long des falaises à droite du déco</t>
  </si>
  <si>
    <t>Au déco avec l'aide radio de Michel et de deux gars au moment du posé</t>
  </si>
  <si>
    <t>Repose déco</t>
  </si>
  <si>
    <t>Michel</t>
  </si>
  <si>
    <t>Bonne sensations, ne pas se poser en arrière de la crête sur le début du Causse</t>
  </si>
  <si>
    <t>Tentatives de tenu au dessus des barres rocheuses à droite du déco, feeling ou conditions un peu faible, je ne passe pas</t>
  </si>
  <si>
    <t>Brunas seul, après décision autonome de quitter le relief, RAS</t>
  </si>
  <si>
    <t>Attéro autonome</t>
  </si>
  <si>
    <t>Swing Arcus taille S</t>
  </si>
  <si>
    <t>Quelques virages pour essai</t>
  </si>
  <si>
    <t>Nova Axon 126</t>
  </si>
  <si>
    <t>Brunas, selette frotte par terre</t>
  </si>
  <si>
    <t>Ne pas oublier de voler pour décoller</t>
  </si>
  <si>
    <t>Oreille</t>
  </si>
  <si>
    <t>Oreile</t>
  </si>
  <si>
    <t>Puncho d'Agast par vent soutenu, tenu par Michel</t>
  </si>
  <si>
    <t>Début correct dans du dynamique de Nord Ouest, puis gros ascenseur, oreilles pour dégagé en milieu de vallée,</t>
  </si>
  <si>
    <t>St palais</t>
  </si>
  <si>
    <t>Flux d'O voile nuageux</t>
  </si>
  <si>
    <t>Wings , 360°</t>
  </si>
  <si>
    <t>Tour du coté du rocher école + Herran</t>
  </si>
  <si>
    <t>Qqueq bulles sous le déco + hérran</t>
  </si>
  <si>
    <t>Plus grand chose en fin d'après midi.</t>
  </si>
  <si>
    <t>Gain difficile au dessus des falaises devant à D du déco pour passer vers la pointe de la Rovagne puis Hte pointe (2000), retour au déco en refaisant le plein à Rovagne, super th. couché enroulé avec Roland en Bi. Crête pour la Pte de Morcelly, rien sur la 1ère crête aprés la rte Tanninges les Gets, Sur la deuxième (au dessus de Verdevant), je patiente longtemps, pas Roland.... à 1600 (+ 300) je poursuit sur ce flanc D du Giffre. Grosse branlée dans la combe de la Valentine (sous le vent). Je rentre ! vers Samoens, Roland m'envoie vers le Criou !!!! Impressionnante, fascinante crête, qui d'un soaring puissant m'envoie jusqu'à 2150 à hauteur de la croix. Retour à Samoens, la larme à l'oeil. Je crois le moment le plus intense de ma vie. Crête du Criou, 1500 m en 3 km des Moulins (Samoens) à la croix. Falaise de ' à 600 m.</t>
  </si>
  <si>
    <t>Beau</t>
  </si>
  <si>
    <t>La Bourgeoise (1768m), dos voile, Ok</t>
  </si>
  <si>
    <t>Qques bulles sous le déco et à D en face sud puis longue transition dans de l'huile.</t>
  </si>
  <si>
    <t>360° à G, Wings, attéro soigné</t>
  </si>
  <si>
    <t>Beau, instable, cum dégénérants, léger sud</t>
  </si>
  <si>
    <t>La bourgeoise (1768m), face voile, Ok</t>
  </si>
  <si>
    <t>Qques minutes pour trouver le thermique devant à G du déco, +150 pour le Criou en thermo-dyn pour 2180. Moins impressionnant que la veille car thermiques permettant de monter plus loin du relief, mais en même temps plus baston. A 2050, trans vers pte de Ressasa, plein est. Un peu bas, brise faiblissante, pluie et cunimb inquiétant vers le Roc d'Enfer nous font rentrer, départ à 1800, je rentre avec 200m/sol... ouf!</t>
  </si>
  <si>
    <t>Attéro soigné, une voile dans un arbre</t>
  </si>
  <si>
    <t>Très beau, léger SO, plaf à 3200… pour Roland</t>
  </si>
  <si>
    <t>Face voile, perte d'équilibre en me retournant, pas super</t>
  </si>
  <si>
    <t>Thermique raté en sortie de déco me font manquer le vol de la semaine, Roland rejoint Morzine avec un point de contournement à la Pte Percée (Arravis) 45 km en 4h dans de grosses conditions…. raté un vol c'est peut-être aussi un signe, rien que les falaises derrière le déco de Passy.... costaudes</t>
  </si>
  <si>
    <t>Très beau, cums faiblissant</t>
  </si>
  <si>
    <t>Mon premier Biplace dans le cadre de la préfo avec Yannick un costagiaire Vendéen. Déco impec, vol stressant depuis le Resto d'altitude avec la certitude de ne pas rentrer au déco … ce qui arrive, je limite les dégats en me posant entre thalasso et entrée d'attéro</t>
  </si>
  <si>
    <t>Prat d'Albis</t>
  </si>
  <si>
    <t>Avec Etienne, déco impec, contrôle de voile Ok, vol cool, essai des trims, approche et final correct, mais avec la différence de taille Etienne arrive au sol bien avnt moi, heureusement qu'il court pour que tout se termine bien.</t>
  </si>
  <si>
    <t>Vent d'Est fort, premier déco avorté au déco officiel, puis seconde tentative à l'opposé sur le déco Est, dans un vent assez fort, après quelques A/R devant le déco, un bon thermique me monte à 1400 m environ, je part en vallée, rien, attéro mouvementé dans la brise de vallée + thermique.</t>
  </si>
  <si>
    <t>Légère brise</t>
  </si>
  <si>
    <t>Régime de SE puis Est</t>
  </si>
  <si>
    <t>Un premier thermique me monte jusqu'au dessus des antennes, je me fais redescendre, rethermique, qui m'amène à proximité de la crête, j'hésite entre quelques bulles puis transite vers un premier vallon, thermique, re vallon, thermique etc … jusqu'à la crête au NE du Col de Mourrous, je ne trouve plus rien, je me pose sur un grand pré en herbe, Sans problème.... Un peu plus bas, Alain Montmory rate son attéro.... Vertèbre ...</t>
  </si>
  <si>
    <t>Plutôt bon avec léger vent en PT8. Dernier virage trop prés de l'attéro mais final correct.</t>
  </si>
  <si>
    <t>Oreilles + Wings légers, 360° larges</t>
  </si>
  <si>
    <t>Stress important, sans plaisir, mauvais vol</t>
  </si>
  <si>
    <t>Les Granges Grascouéou, trop rapide, pas de contrôle visuel</t>
  </si>
  <si>
    <t xml:space="preserve">Bon dégagement du relief, 1er 360° trop large, 2ème mieux, bon align. </t>
  </si>
  <si>
    <t>Vielle Aure, en U parce que ça voulait... trop court</t>
  </si>
  <si>
    <t>360 correct D. et G., oreilles, virages selette</t>
  </si>
  <si>
    <t>Vol sympa, selette trop en avant</t>
  </si>
  <si>
    <t>Ens, parking, bon malgrès le vent et les turbulences dues aux arbres en avant du déco. Pierre Yves limite, limite</t>
  </si>
  <si>
    <t>Dynamique, laminaire peu de turbulence, trop de frein (hauteur d'épaules), mal aux bras.</t>
  </si>
  <si>
    <t>Port de L'hers</t>
  </si>
  <si>
    <t>Organya</t>
  </si>
  <si>
    <t>Sailhan, dans la partie non fauché à coté du petit terrain</t>
  </si>
  <si>
    <t>Ens parking, trop brusque aux commandes</t>
  </si>
  <si>
    <t>Tenu en dynamique, avancé dans la vallée pour 1x36O° par la droite puis 2x360° par la gauche puis petites oreilles</t>
  </si>
  <si>
    <t>Sailhan, aux oreilles réouvertent beaucoup trop tard, attéro sur le cul plutôt violent, pas de bobo…</t>
  </si>
  <si>
    <t>Ens parking, 1er raté accélérateur pris dans les commandes, 2ième mieux mais trop brusque aux cdes</t>
  </si>
  <si>
    <t>Bien tenu en dynamique</t>
  </si>
  <si>
    <t>Sailhan, sur le haut du grand terrain fauché</t>
  </si>
  <si>
    <t>Les Granges, un peu précipité quoique un peu mieux</t>
  </si>
  <si>
    <t xml:space="preserve">Bien tenu en thermique sur les barres rocheuses à la vertical de la 1ère épingle, 2 tentatives de prise thermique en 360° </t>
  </si>
  <si>
    <t>PTU au terrain de Bourisp, bien</t>
  </si>
  <si>
    <t>Le Plat d'Adet, pas assez de décomposition des phases</t>
  </si>
  <si>
    <t>Tentatives de tenu au dessus des barres rocheuses téléphérique, puis au dessus de Vignec, essai 360, pas super</t>
  </si>
  <si>
    <t>Super - Soulan - 600 de Val Louron</t>
  </si>
  <si>
    <t>Super - Cap des hittes - Ris (N de Bordères Louron) - Burat - Luchon</t>
  </si>
  <si>
    <t>Super - Poujastou - Burat - St Mamet</t>
  </si>
  <si>
    <t>Chartreuse</t>
  </si>
  <si>
    <t>St Hilaire - Gd St Marcel (Barreau) - Sta Hilaire</t>
  </si>
  <si>
    <t>Le Sire - Semnoz - Doussard</t>
  </si>
  <si>
    <t>Gers</t>
  </si>
  <si>
    <t>St Clar - Gimont - Espaon</t>
  </si>
  <si>
    <t>SIV</t>
  </si>
  <si>
    <t>Annevy</t>
  </si>
  <si>
    <t>Montmin - Dent de Lanfon - Planfait</t>
  </si>
  <si>
    <t>Quarx 2</t>
  </si>
  <si>
    <t>Montmin - Rocher des roux</t>
  </si>
  <si>
    <t>Perte fichier</t>
  </si>
  <si>
    <t>Vol avec Etienne. Lanfonnet, Lanfon, forte turbulences, peut être sous le vent, Gilles fait secours sous le col des Frêtes. Petit tour du lac, traversée entre La Forclaz (départ à 1850) et le Roc des bœufs raccrochés très bas, reprise facile et montée explosive à +2.5 quasi parallèle à la crête. Au dessus de la deuxième ligne, la menace d'un cunimb au dessus du Semnoz nous fait fuir.</t>
  </si>
  <si>
    <t>Oreilles, ferm asym, 360°</t>
  </si>
  <si>
    <t>Essai de la voile de Patrick, que du bien, un peu style Epsilon, on s'y sent bien dessous tout de suite. A priori meilleur tau de chute, finesse à vérifier.</t>
  </si>
  <si>
    <t>Déco après Tim (Pont Sublime) Alain (attéro au bt du Lac), Phil (Roc des Bœufs), Sam (tas au pied du Revard). Passage difficile du resto à la pointe du Revard, Gilles me rejoint avant la transition vers Bange que nous faisons décalé, il me dépose à la reprise à Bange, ou aprés mazégage je suis rejoint par Greenpeace, 1450 avant tarns vers Semnoz ou nous raccrochons trés bas, je pose dans le mêm champs que Gilles, bientôt rejoint par Dominique? Creenpeace se refait à 100m/sol pour revenir 1h + tard, bloqué en O du Semnoz.</t>
  </si>
  <si>
    <t>Mauvais judement ligne HT après la Visitation, limite, limite</t>
  </si>
  <si>
    <t>Lanfonnet, Lanfon avec Denis et Patrick. Bonnes sensations après l'attéro à la Visitation. J'essaie vainement de faire monter Patrick au dessus des Dents de Lanfon mais sa distance à la falaise est trop grande… ce sera pour une autre fois. Au retour, comparaison et photos à qques mètres. Ma voile + rapide, tau de chute + fort, finesse à priori moins bonne.</t>
  </si>
  <si>
    <t>360° à G fort, à D moins.</t>
  </si>
  <si>
    <t>Oreilles, ferm asym, 360°G</t>
  </si>
  <si>
    <t>Ouverture du vol en soirée après le passage d'un front orageux. Sylvie me suit, survol très agréable de la forêt, malheureusement, pas de restit mais quelle douceur.</t>
  </si>
  <si>
    <t>Dos à la voile, bon contrôle visuel</t>
  </si>
  <si>
    <t>Mauvaise trans pour Ressachaux, raccroché bien bas (200m utilisable?) 10/15' de combat avant de prendre le thermique (merci Franz et autres bi). Je reste le seul à l'exploiter à fond, sortie à 2800, au moins + 1500m. trans et thermique au Hts Forts pour le plaf, un peu sous les barbulles et en filmant. Trans vers la Pte de Bécret aprés un court passage en Suisse puis plus rien, longue validation du sens des brises avant d'atterrir en ht de la vallée de Montriond, nickel.</t>
  </si>
  <si>
    <t>Flux de So entrant en basse couche en fin de matinée</t>
  </si>
  <si>
    <t>Dos voile</t>
  </si>
  <si>
    <t>Qques enroulage avant l'entré de So et attéro au Gds champs sous le deuxième lacée sous le déco</t>
  </si>
  <si>
    <t>La bourgeoise, dos voile</t>
  </si>
  <si>
    <t>Voile important entrant en SO</t>
  </si>
  <si>
    <t>360 à G, Wings</t>
  </si>
  <si>
    <t>Le Saix, vent de cul, longue course</t>
  </si>
  <si>
    <t>360° à D, Wings, attéro en remontant la vallée, nickel</t>
  </si>
  <si>
    <t>Traine de SO, plaf en hausse, instabilité importante.</t>
  </si>
  <si>
    <t>Face voile, vent fort travers D, correct</t>
  </si>
  <si>
    <t xml:space="preserve">Attéro au déco, 360 G et D, </t>
  </si>
  <si>
    <t>Selette enfin potable, première sensation agréable, Mais qu'elle est vive!!!!</t>
  </si>
  <si>
    <t>Delta 1226 - Dos voile Ok mais manque de contrôle de contrôle</t>
  </si>
  <si>
    <t>Pas agréable, bougé dans des bulles</t>
  </si>
  <si>
    <t>Accélérateur, Oreilles</t>
  </si>
  <si>
    <t>Vole stressant, je ressent mal la sensibilté de la voile, content d'atterrir</t>
  </si>
  <si>
    <t>Voile mieux tenu, meilleur contrôle</t>
  </si>
  <si>
    <t>Contrôle voile, oreilles</t>
  </si>
  <si>
    <t>Beaucoup mieux, maman m'en fait la remarque à peine atterri, rien qu'au visuel vole et atterro</t>
  </si>
  <si>
    <t>Thermodynamique à Arrapoup, début difficile puis beaucoup mieux</t>
  </si>
  <si>
    <t>Trop sous le vent du terrain, faillis pas rentrer, accélérateur pas sorti !!</t>
  </si>
  <si>
    <t>Thermiques enroulés, beaucoup de monde</t>
  </si>
  <si>
    <t>Gros vol, montée à 1300  à la limite de la crête, compèt en //, rentrer terrain au bon moment</t>
  </si>
  <si>
    <t>Intermédiaire, Ok mais manque de contrôle visuel</t>
  </si>
  <si>
    <t>Qques thermiques en suivant un autre pilote sous radio</t>
  </si>
  <si>
    <t>Wing doux, 360 ° tranquille</t>
  </si>
  <si>
    <t>Le contrôle en entrée et sortie thermique pas satisfaisant</t>
  </si>
  <si>
    <t>Delta - Plutôt raté, la voile passe devant, j'accélère, je glisse, fermeture, finalement elle voulait voler</t>
  </si>
  <si>
    <t>Essai en thermique</t>
  </si>
  <si>
    <t>Vent soutenu, descente presque verticale, contrôle roulis difficile</t>
  </si>
  <si>
    <t>Accélérateur, 360° large</t>
  </si>
  <si>
    <t>Bon attérro par vent soutenu</t>
  </si>
  <si>
    <t>Ens haut, face voile, raté, la voile passe devant et ferme, elle veut vraiment voler!!</t>
  </si>
  <si>
    <t>Thermodynamique , assez turbulent, thermique assez sec, troublé en altitude par le vent météo</t>
  </si>
  <si>
    <t>Au déco à la première tentative, mais glissade vers la gauche et ecroulement de la voile sur le coté</t>
  </si>
  <si>
    <t>Déco face voile, attérro au déco</t>
  </si>
  <si>
    <t>Vraiment personne alentour, un voile en l'air, vu Jean en passant à l'attérro</t>
  </si>
  <si>
    <t>Ens haut, face voile, je freine trop fort, pas le temps de me retourner, fort dérapage sur un, puis l'autre</t>
  </si>
  <si>
    <t>Au déco à la troisième tentative, glissade pas contrôler mais j'arrive c'est pas si mal</t>
  </si>
  <si>
    <t>N'importe quoi et craignosse pour le déco, par contre bon contrôle dans les turbulences</t>
  </si>
  <si>
    <t>Aucun, Val d'Azun</t>
  </si>
  <si>
    <t>Dos voile, vrai contrôle visuel, bon déco</t>
  </si>
  <si>
    <t>Soaring sympa + qque thermiques pas exploités tjs au dessus de Jean</t>
  </si>
  <si>
    <t>Attéro FFVL sans vent, bon, cible réussi, gestion approche avec Jean</t>
  </si>
  <si>
    <t>Jean</t>
  </si>
  <si>
    <t>Agréable, bonne sensationn bien tenu dans le dynamique</t>
  </si>
  <si>
    <t>Face voile, tjs la voile qui passe devant, fermeture au retournement mais réouverture</t>
  </si>
  <si>
    <t>Soaring + thermiques exploités A/R entre déco et intermédiaire</t>
  </si>
  <si>
    <t>Au déci interm., approche vent arrière coté relief tjrs la voile qui glisse, trop de correction</t>
  </si>
  <si>
    <t>Oreilles, 360° large</t>
  </si>
  <si>
    <t>L'atterro réussi mais carrément à l'envers, retour pente dangereux !! À ne plus recommencé</t>
  </si>
  <si>
    <t>Essai face voile, mauvais feeling, déco dos voile, assistance Jean</t>
  </si>
  <si>
    <t>Soaring finissant, prise de vallée haute</t>
  </si>
  <si>
    <t>Ok, vent de travers bien géré, prise en compte turbulences éventuelles maison</t>
  </si>
  <si>
    <t>Décollage face voile,Accélérateur</t>
  </si>
  <si>
    <t>Bien géré malgrés la fatigue du vol précédent</t>
  </si>
  <si>
    <t>BILAN APRES 14 VOLS + 4 (école)</t>
  </si>
  <si>
    <t>Cadencement des wings impossible à trouver.</t>
  </si>
  <si>
    <t>600, léger vent de face, impec</t>
  </si>
  <si>
    <t>qques thermiques au dessus du 300, assez bien exploité, puis soaring léger</t>
  </si>
  <si>
    <t>RAS</t>
  </si>
  <si>
    <t>Bon vol, très agréable, bon contrôle dans les thermiques, bien.</t>
  </si>
  <si>
    <t>700, thermique en sortie, plutôt chaud, correctement géré, passage assis après dégagement relief.</t>
  </si>
  <si>
    <t>Pas d'essai sur les faces sud à G du déco, traversée jusqu'au 300, qques thermiques puis descente</t>
  </si>
  <si>
    <t>"Conseils" étonnants d'un  gars de la Rochelle, un peu furieux et bon parapentiste… du moins tant qu'il vit</t>
  </si>
  <si>
    <t>Oo</t>
  </si>
  <si>
    <t>Intermédaire, pas de pb</t>
  </si>
  <si>
    <t>Soaring tout doux pour ralentir la descente</t>
  </si>
  <si>
    <t>En même temps que Patrick, bon partage terrain</t>
  </si>
  <si>
    <t>Vol avec Patrick, exploitation dynamique pas très bonne</t>
  </si>
  <si>
    <t>SuperBagnères</t>
  </si>
  <si>
    <t>Des Œufs, prégonflage puis dos voile, Ok malgrés le vent faible</t>
  </si>
  <si>
    <t>Début étrange, pas de sensation, trop lisse, traversée de la vallée, mieux en versant ouest, dynamique + thermiques, nbx exercices de descentes.</t>
  </si>
  <si>
    <t>Trop long, limite du terrain, pour deux raisons, partage terrain avec autre voile moins perfo, mauvaise prise en considération faible vitesse vent</t>
  </si>
  <si>
    <t>Oreilles, 360° large, accélérateur</t>
  </si>
  <si>
    <t>TDS, Alain au déco</t>
  </si>
  <si>
    <t>Vol angoissant au début, trop de gaz au dessus de la vallée, puis plus sympa sur le soaring quoique turbulent, difficulté à descendre, nbx 360° G et D</t>
  </si>
  <si>
    <t>Baigoura</t>
  </si>
  <si>
    <t>Un peu en dessous du sommet, vent soutenu, prégonfflage puis dos voile</t>
  </si>
  <si>
    <t>Ascendances excessives, passage en nuage très désagréable, descente difficile</t>
  </si>
  <si>
    <t>Vent soutenu, descente presque verticale, contrôle en positionnement terrain correct, dérapage latéral.</t>
  </si>
  <si>
    <t>Oreilles, 360° dont Qques uns moyens, accélérateur</t>
  </si>
  <si>
    <t>Passage en bas de nuage très angoissant, descente difficile.</t>
  </si>
  <si>
    <t>Meilleur gestion des ascendances, plus de wings et accélérateur pour maitriser la descente</t>
  </si>
  <si>
    <t>Vent soutenu, descente presque verticale, presque tout bon</t>
  </si>
  <si>
    <t>Oreilles, accélarateur, wings légers</t>
  </si>
  <si>
    <t>Mieux, bon atterissage</t>
  </si>
  <si>
    <t>Bidart</t>
  </si>
  <si>
    <t>En sous vitesse, la voile veut voler</t>
  </si>
  <si>
    <t>Aie, aie, aie l'atterro</t>
  </si>
  <si>
    <t>Les Granges, contrôle visuel faible</t>
  </si>
  <si>
    <t>Recherche thermique = 0</t>
  </si>
  <si>
    <t>Vielle Aure, virage en final, prise de vitesse, sur le ventre, casquette</t>
  </si>
  <si>
    <t>Il faut prendre le vent en considération !</t>
  </si>
  <si>
    <t>Ens, bon, contrêle visuel faible, vent : 10 km/h</t>
  </si>
  <si>
    <t>Dynamique : bien, encore que plus bas que Nono d'au moins 200m, trop de frein ? A/R trop rapide ?</t>
  </si>
  <si>
    <t>Sailhan, trop rapide freinage trop tard</t>
  </si>
  <si>
    <t>Guidage radio de Yo vers le crash de Fifi dans les arbres</t>
  </si>
  <si>
    <t>Bilan stage initiation</t>
  </si>
  <si>
    <t>Penser à décomposer les trois phases, sentir les avants quittés les mains,prendre le temps d'un vrai contrôle visuel, un peu de frein</t>
  </si>
  <si>
    <t xml:space="preserve">Trouver le feeling pour tenir plus longtemps, plus haut. Tangage à maitriser, sensation en dynamique à trouver, vaincre la peur de monter seul et haut. </t>
  </si>
  <si>
    <t>Il faut freiner peut être plus tôt. Par vent fort, en altitude avancer au vent du terrain pour descendre, oreilles, wings, à bonne hauteur, glisser en arrière du terrain, pour atterrir en L</t>
  </si>
  <si>
    <t>180 et 360, oreilles, contrôle roulis et tangage.</t>
  </si>
  <si>
    <t>Stage progression chez Waga, Vielle Aure du 26 oct. au 31 oct. 97</t>
  </si>
  <si>
    <t>APCO Sentra</t>
  </si>
  <si>
    <t>Plat d'Adet, vent face</t>
  </si>
  <si>
    <t>Vibrations tout le long du vol</t>
  </si>
  <si>
    <t>Vignec Waga, sous les directives de Jean</t>
  </si>
  <si>
    <t>Bruno, Jean, Fête de l'école Waga</t>
  </si>
  <si>
    <t>Pour avoir réutilisé la voile qques jours plus tard, je suis persuadé que l'accélérateur était en fonctionnement permanent (Voir vol 26)</t>
  </si>
  <si>
    <t>Idem</t>
  </si>
  <si>
    <t>Advance, Epsilon² 28</t>
  </si>
  <si>
    <t>Les Granges, vent face léger</t>
  </si>
  <si>
    <t>Limpide, dégagement franc du relief, qques virage...</t>
  </si>
  <si>
    <t>Vielle Aure , seul, 1er à l'atterrissage, pas de problème</t>
  </si>
  <si>
    <t>Trêfle, Bruno en vol</t>
  </si>
  <si>
    <t>Bon vol</t>
  </si>
  <si>
    <t xml:space="preserve">Plat d'Adet, </t>
  </si>
  <si>
    <t>Essai thermique au dessus de Vignec, contrôle tangage inverse, stoppé par Bruno.</t>
  </si>
  <si>
    <t>Vignec Fédéral, guidé par Bruno, très mauvais, dernier virage derrière la ligne avec perte vision terrain.</t>
  </si>
  <si>
    <t>Contrôle tangage</t>
  </si>
  <si>
    <t>Trêfle, Bruno</t>
  </si>
  <si>
    <t>Mauvais vol</t>
  </si>
  <si>
    <t>Plat d'Adet</t>
  </si>
  <si>
    <t>virage à travailler en thermiques à D.</t>
  </si>
  <si>
    <t>Dos voile, pas de vrai tempo mais contrôle visuel oK</t>
  </si>
  <si>
    <t>Qques thermiques, plaf et nuage, oreilles et accélérateurs</t>
  </si>
  <si>
    <t>Gradient très fort pas pris en compté + virage trop bas, sur le cul, très fort… limite catastrophe !!!!!</t>
  </si>
  <si>
    <t>360° à dr. pas assez engagé</t>
  </si>
  <si>
    <t>Quel dommage cet attéro, ça a tout gaché, selette déchiré et gros mal au coccis</t>
  </si>
  <si>
    <t>Dos voile, contrôle léger</t>
  </si>
  <si>
    <t>Réglage selette, air calme….douceur…plaisir</t>
  </si>
  <si>
    <t>Préparé de très loin, final sur toutes la longueur du terrain, presques la cible</t>
  </si>
  <si>
    <t>Pluie sur la fin</t>
  </si>
  <si>
    <t>Moustiers Ste Marie</t>
  </si>
  <si>
    <t>Fac voile, bon début puis manque de vitesse, reprise de justesse avant fermeture</t>
  </si>
  <si>
    <t>Dyn au dessus de Moustiers, 2 essais infructueux de départs vers le petit hourche? (dir. les gorges)</t>
  </si>
  <si>
    <t>Gradient fort annoncé, longue finale, freinage un peu haut mais attéro en douceur..ouf</t>
  </si>
  <si>
    <t>Le + beau site, tout y est, même la gentillesse des locaux</t>
  </si>
  <si>
    <t xml:space="preserve">Planautes  </t>
  </si>
  <si>
    <t>Antennes</t>
  </si>
  <si>
    <t>Planaute</t>
  </si>
  <si>
    <t>SE, 30/40 à la Puncho</t>
  </si>
  <si>
    <t>Pic D'andan, fac voile nickel</t>
  </si>
  <si>
    <t>Soaring insepéré à mon arrivée à Millau vers 19h30, quel plaisir de voler. Retrouver Michel du Mans et la bande à Roland.</t>
  </si>
  <si>
    <t>Arrivée dun front orageux d'O</t>
  </si>
  <si>
    <t>Causse de Sauveterre à Liaucous</t>
  </si>
  <si>
    <t>Premier des vols décrit par Manu BONTE, juste la voile et la selette légère, 350 m de dénivellée, même allégé c'est pas si évident. Le vol, une trop courte glissade. J'atterris à coté de la Chapelle/Cimetière en fond de vallée, 100 m de dénivellé de plus....</t>
  </si>
  <si>
    <t>Flux de NO, trpo fort à Millau, limite à Saujac</t>
  </si>
  <si>
    <t>Saujac à coté du Saut de la Mounine</t>
  </si>
  <si>
    <t>Déco impec dans un petit creux de vent, j'aurais pu attendre d'être pris en charge, voile au dessus de la tête. Vol pas très agréable, gros nuage pas engageant, météo un peu trop fort, je me pose au déco avec soulagement. Dur dur le vol de plaine, les locaux semblaient comme des oiseaux en l'air.... enfin ceux qui étaient en vol.</t>
  </si>
  <si>
    <t>Swing Astral M</t>
  </si>
  <si>
    <t>Swing Astral M, évasion</t>
  </si>
  <si>
    <t>Swing Astral 2 tailel M</t>
  </si>
  <si>
    <t>j'ai pas trop aimé le site</t>
  </si>
  <si>
    <t>Malleval, Vercors Ouest</t>
  </si>
  <si>
    <t>Tendance orageuse</t>
  </si>
  <si>
    <t>Type falaise, nien alimenté</t>
  </si>
  <si>
    <t>Partis en dernier pour assister les décos dont Denis Cadoux qui rame un peu, je prends un puis deux thermques, je finis par suivre Domi lui-même précé par Sam (il feront 18 km St Jean en Royans). Pour ma pars, avec Ivan, on grignote encore quelques bulles et on se pose à St Pierre ....</t>
  </si>
  <si>
    <t>1h30 après énorme orage</t>
  </si>
  <si>
    <t>Correct, contrôle Ok, un peu court</t>
  </si>
  <si>
    <t>deuxième bi en apprentissage, pas mal de conseil de Domi dont les explications très détaillées qu'il donne au passager, déco côte à côte, c'est bon pour la course mais physique pour le passager qui doit maintenir la position. Attéri idem, c'est pas mal.</t>
  </si>
  <si>
    <t>Annecy, Planfait</t>
  </si>
  <si>
    <t>Annecy, Montmin</t>
  </si>
  <si>
    <t>Orage menaçant</t>
  </si>
  <si>
    <t>SIV 1</t>
  </si>
  <si>
    <t>SIV 2</t>
  </si>
  <si>
    <t>SIV 3</t>
  </si>
  <si>
    <t>SIV 4</t>
  </si>
  <si>
    <t>SIV 5</t>
  </si>
  <si>
    <t>SIV 6</t>
  </si>
  <si>
    <t>SIV 7</t>
  </si>
  <si>
    <t>Twist, Gdes oreilles, B</t>
  </si>
  <si>
    <t>St Sébastien</t>
  </si>
  <si>
    <t>Le vent ayant forcit, après mon retour du vol précédent, je fais une bonne heure de gonflage. Puis une bonne heure d'attente au déco. Vers 17h35, déco dans du vent fort? Je me fais arracher et décole twister, pas royale du tout… un petit 1/4 d'h plus tard, frigorifié, je fais les oreilles pour descendre et me poser...</t>
  </si>
  <si>
    <t>Atterro seul avant Bruno</t>
  </si>
  <si>
    <t>Stage Perf 1 chez WAGA à St Lary</t>
  </si>
  <si>
    <t>US Voiles Williwaw 95</t>
  </si>
  <si>
    <t>Plat d'Adet- Pas assez de frein</t>
  </si>
  <si>
    <t>RAS Vol balistique de reprise</t>
  </si>
  <si>
    <t>Vielle Aure trop long</t>
  </si>
  <si>
    <t>3.5</t>
  </si>
  <si>
    <t>Yves, Jean</t>
  </si>
  <si>
    <t>Vol de reprise pas mal de stress</t>
  </si>
  <si>
    <t>1.6</t>
  </si>
  <si>
    <t>Tangage plutôt réussi</t>
  </si>
  <si>
    <t>Annecy, posé un peu plus bas que le relais TV après un passage difficile du veyrier. J'aurais du faire demi tour au veyrier pour raccrocher le Rocs des bœufs, manque d'analyse. Sam se travaerse les Bauges ….</t>
  </si>
  <si>
    <t>Ferm. Asy et frontales acc. Wings</t>
  </si>
  <si>
    <t>Basses vitesses recherche point de décrochage, décro asymétrique, départ main hte, mi frein, en virage</t>
  </si>
  <si>
    <t>Secours après 1tr1/4 d'autorot</t>
  </si>
  <si>
    <t>Wings aux oreilles, à la selette, 360 asy, Wings, Pomping</t>
  </si>
  <si>
    <t>N faible</t>
  </si>
  <si>
    <t>Thermique raté, le pars sur la Dr. Du déco, mazégage au dessus du Col des Aravis et posé (vent de cul) un peu sous le col.</t>
  </si>
  <si>
    <t>Crêts des Loups 1600m</t>
  </si>
  <si>
    <t>Aravis</t>
  </si>
  <si>
    <t>Vielle Aure, vent soutenu, approche en U plutôt réussi</t>
  </si>
  <si>
    <t>Attérro prise de terrain enU</t>
  </si>
  <si>
    <t>Trop de mvts de main, voile pas assez tenue</t>
  </si>
  <si>
    <t>Pyrénées-Val d'Ouron</t>
  </si>
  <si>
    <t>Déco 300</t>
  </si>
  <si>
    <t>Découverte du site</t>
  </si>
  <si>
    <t>Terrain Delta, vent soutenu montant</t>
  </si>
  <si>
    <t>Tenu de la voile, atterro</t>
  </si>
  <si>
    <t>Voile mieux tenu, attention au 360° en approche même si  dérive maitrisée</t>
  </si>
  <si>
    <t>Ens Parking</t>
  </si>
  <si>
    <t>Montée avec dynamique pour…</t>
  </si>
  <si>
    <t>Attéro au déco, guidage par Yves, un peu court mais …</t>
  </si>
  <si>
    <t>Attérro au déco</t>
  </si>
  <si>
    <t>Ens déco du haut</t>
  </si>
  <si>
    <t xml:space="preserve">Soaring mollasson </t>
  </si>
  <si>
    <t>Descente aux oreilles</t>
  </si>
  <si>
    <t>Soaring en dynamique faible, oreilles</t>
  </si>
  <si>
    <t>Yves, Samy</t>
  </si>
  <si>
    <t>Déco nickel, bon vol</t>
  </si>
  <si>
    <t>Déco 600</t>
  </si>
  <si>
    <t>Essai accélérateur, 2x360° à D puis à G</t>
  </si>
  <si>
    <t>Terrain parapente, vent descendant, S entre lac et arbres longeant la route</t>
  </si>
  <si>
    <t xml:space="preserve">1er essai 360° engagé </t>
  </si>
  <si>
    <t>Ens haut</t>
  </si>
  <si>
    <t>Traversée St Lary, heureusement que deux trois thermiques nous ont poussés aux fesses</t>
  </si>
  <si>
    <t>SO en altitude</t>
  </si>
  <si>
    <t>22/067</t>
  </si>
  <si>
    <t>Tendance O/NO</t>
  </si>
  <si>
    <t>Delta G, dos voile Ok</t>
  </si>
  <si>
    <t>Qques thermiques qui m'ont permis de tenir au dessus du déco intermédiaire</t>
  </si>
  <si>
    <t>360° impossible à engager</t>
  </si>
  <si>
    <t>Appréhension de la veille pour les 360°</t>
  </si>
  <si>
    <t>Delta 1226m, face voile, plutôt bon, juste après le départ de la compét. B</t>
  </si>
  <si>
    <t>Balises 3 de la compét, arrêt avant la 4 en essayant de passer devant de déco, vent trop fort, limite à se faire reculer, bien content de se dégaer</t>
  </si>
  <si>
    <t>Chaud, chaud, vent fort, une amorce de frontale à 100 m/sol, deux petites fermetures à 20m/sol, léger dérapage en final bien gérer… ouf</t>
  </si>
  <si>
    <t>Suivre une B, utilisation accélérateur moins stressante</t>
  </si>
  <si>
    <t>Pas mal pour une première, Samuel et Lionel au tas à la 1, j'aurais dû rester lucide par rapport aux pilotes suivis, approche nuages plus sereine.</t>
  </si>
  <si>
    <t>Téléphérique, dos voile</t>
  </si>
  <si>
    <t>Sur la crête sous le téléphérique pour pas grand chose, puis devant pour de meilleurs th. Avec trèfle</t>
  </si>
  <si>
    <t xml:space="preserve">Sur l'arrière du déco de Ens, buissons évités, pas trop mal </t>
  </si>
  <si>
    <t>Thermique</t>
  </si>
  <si>
    <t>Trèfle m'a bien montré la voie pour fair du gain du Pla d'Adet, avant je m'étais bien battu</t>
  </si>
  <si>
    <t>Ens, face voile, plutôt bien, sous les yeux (forcément admiratifs) de 2 parapentistes…</t>
  </si>
  <si>
    <t>Courte lutte au dessus du déco pour essayer de passer la bosse, gros nuage menaçant…</t>
  </si>
  <si>
    <t>FFVL, en vent soutenu, presque scotché à 50 m/sol, puis gradient pour être trop long</t>
  </si>
  <si>
    <t xml:space="preserve">360°, à G </t>
  </si>
  <si>
    <t>Pas de souvenir particulier que ça centrifugé plus que dab.</t>
  </si>
  <si>
    <t>Téléphérique, dos voile RAS</t>
  </si>
  <si>
    <t>Traversée de la vallée pour Ens, un peu de dynamique..</t>
  </si>
  <si>
    <t>FFVL, qques turbulences correctement négociées</t>
  </si>
  <si>
    <t>Thermo dyn, réussi à passer la "marche", en dernier des 4/5 pilotes du jour</t>
  </si>
  <si>
    <t>Ens décodos voile</t>
  </si>
  <si>
    <t>dynamique faiblissant</t>
  </si>
  <si>
    <t>Savoie, Montlambert</t>
  </si>
  <si>
    <t>Hte Savoie, Annecy</t>
  </si>
  <si>
    <t>Hte Savoie, Morzine</t>
  </si>
  <si>
    <t>Hte Savoie, Mieussy</t>
  </si>
  <si>
    <t>Hte Savoie, Samoens</t>
  </si>
  <si>
    <t>Hte Savoie, Passy</t>
  </si>
  <si>
    <t>Gd beau, pas de météo, brise légère</t>
  </si>
  <si>
    <t>Face voile, retournement un peu lent</t>
  </si>
  <si>
    <t>Qques bulles mal organisées, inexploitable. Ai mis du temps à comprendre dans quel sens atterrir, pb d'orientation</t>
  </si>
  <si>
    <t>Gd beau, cum léger, brise établie, nord rentrant en fin de vol</t>
  </si>
  <si>
    <t>Montmin, face voile, déséquilibre arr. aile part à G fermeture puis déco, pas bon</t>
  </si>
  <si>
    <t>Dynamique sur coche Cabanne à D du déco, attente de Roland pour trans vers la Tournette (1700), Dyn pour 2000 + th pour 2160. trans vers Aiguilles de Lanfon, atteint à 2000. Entrée de Nord, Qques turbul. trans vers Roc des bœufs, reprise à 1000m, restit sur face ouest pour atteindre 1300m, un peu au dessus de la première ligne THT. Pas possible de monter + haut, retour au terrain du bt du Lac.</t>
  </si>
  <si>
    <t>Attéro naze, léger cul, voile sur le BA</t>
  </si>
  <si>
    <t>Beau, début de Cum</t>
  </si>
  <si>
    <t>Super Morzine, arbres à laisser sur la droite, déco vers 11h</t>
  </si>
  <si>
    <t>Prise du thermique devant le déco à G, au dessus des falaises, bien guidé par une oméga 4, on décalle vers Avoriaz jusqu'aux barbulles. Trans pour Ressachaud, reprise d'un th. au niveau du plateau à cabannes au dessus du dyn de Ressachaud, trans vers la pointe de Nyons, plus rien trouvé, retour attéro officiel</t>
  </si>
  <si>
    <t>Beau, gros cum, brise établie</t>
  </si>
  <si>
    <t>Face voile en brise assez forte vers 17 h.</t>
  </si>
  <si>
    <t xml:space="preserve">Gros thermique turbulent jusqu'au nuage, ligne de crête du déco - Pic d'Arragnat, départ à 1700 pour petit Cabaliros, soaring jusq'à la ligne de crête (1500) puis traversée vers Hautacam, sous le pilône à droite du donjon des aigles, 2000 m en thermo-dym pour aller vers B1 au dessus du déco d'Hautacam, passer à 1400 pour 1200, remonter + ou - sous le vent jusqu'à 1700 pour traversée et </t>
  </si>
  <si>
    <t>Réacrochage à 1300 sous le petit Caba, soaring jusqu'à la ligne de crête, départ à 1500 vers Aucun, trop bas pour accrocher la crête de Pan, poser propre à coté de Sireix, prés d'un hangar à bestiaux (Artugaus ?), Il aurait fallu repartir du petit caba avec + 200 / à la crête</t>
  </si>
  <si>
    <t>Les +++ : mon second plus gros vol, après celui de St André du 20/04, je faist la B1, pas Alain, Jean-Michel ou encore Phil Tholon. Je retraverse la vallée.</t>
  </si>
  <si>
    <t xml:space="preserve">1er compet B de Cauterets : à améliorer : la préparation de la voile et du matos (radio pas calé sur ffvl, pas essayé !), appareil photo 24x36 peloch 100 ASA, être prés + tôt pour mieux profiter des explications des locaux. </t>
  </si>
  <si>
    <t xml:space="preserve">du 700m, vers 12h15, limite avant inversion, dos voile Ok, </t>
  </si>
  <si>
    <t>Sortie en face sud très difficile, Phil Tholon sort en une dizaine de minutes, moi au moins 40', ensuite beaucoup de difficulté à garder le thermique pour finalement atteindre le plaf.</t>
  </si>
  <si>
    <t>Traversée de vallée, rien sous Peyresourde, je me suis rendu malade, retour déco, essai infrucrueux de 360, déco correct, grosse, grosse fatigue</t>
  </si>
  <si>
    <t>Arrivée trop tard, les bons sont au plaf quand nous arrivons dans la vallée, (1h), pas mangé, pressé de vouloir participer à un journée canon, je rate presque tout.</t>
  </si>
  <si>
    <t>Du 600, dos voile RAS</t>
  </si>
  <si>
    <t>360 très engagés, difficulté pour sortir, grosse ressource</t>
  </si>
  <si>
    <t xml:space="preserve">du 700, face voile, deux essais avant réussite, </t>
  </si>
  <si>
    <t>recherche vaine de thermiques sus la face SO à G du déco</t>
  </si>
  <si>
    <t>du 600, RAS</t>
  </si>
  <si>
    <t>Sous Tuc de l'Etang, face voile</t>
  </si>
  <si>
    <t>SE 15/25 kmh</t>
  </si>
  <si>
    <t>Face voile, arrêt du 1er essai</t>
  </si>
  <si>
    <t>Face voile</t>
  </si>
  <si>
    <t>Gonflage 1h environ</t>
  </si>
  <si>
    <t>Bon vol de reprise, posé au déco pour rejoindre Jo, Réjane et Quentin pour aller déjeuner au CC</t>
  </si>
  <si>
    <t>Vol d'exercices, posé au déco</t>
  </si>
  <si>
    <t>Qques wings</t>
  </si>
  <si>
    <t>Transition vers la colline au dessus de Gourdon, je ne trouve pas grand chose, posé à l'attéro officiel, manque de prise de vitesse</t>
  </si>
  <si>
    <t>Flux de NO, grosse humidité, brouillard</t>
  </si>
  <si>
    <t>Dos voile, un tour de frein à la main G ma gène</t>
  </si>
  <si>
    <t>Voile d'humidité, brise forte</t>
  </si>
  <si>
    <t>En sud, travers D, Dos voile</t>
  </si>
  <si>
    <t xml:space="preserve">Soaring sur Herran, rien de bien fameux, difficultés à être bien installé, prise de commandes idem, grosse fermeture ou frontale à 100%, vu d'en bas on me dit qu'il y a eu peu de perte d'altitude, </t>
  </si>
  <si>
    <t xml:space="preserve">En sud, </t>
  </si>
  <si>
    <t>Traversée d'un reste de couche nuageuse, difficulté dans les Wings, les bouts d'ailes ferment</t>
  </si>
  <si>
    <t>Face à la vallée</t>
  </si>
  <si>
    <t>NO en altitude, régime de brise forte</t>
  </si>
  <si>
    <t>Vent faible de NO</t>
  </si>
  <si>
    <t>Vent moyen de NO</t>
  </si>
  <si>
    <t>Vent fort de NO</t>
  </si>
  <si>
    <t>Brise d'O forte, peut-être reste Mistral</t>
  </si>
  <si>
    <t>SO faible et brise</t>
  </si>
  <si>
    <t>Face bv</t>
  </si>
  <si>
    <t>Déco délicat avec la brise très travers, début de vol difficile dans du thermique puissant et étroit puis très large, en montée à 2/3 m/s sctochée face à la brise, à se demander si je suis pas dans du dynamique, très étrange, puis transition légèrement travers vers La Bastide des Jourdans ou je ne trouve rien, posé nickel à proximité de la route de Beaumont.</t>
  </si>
  <si>
    <t>Montée à pied avec Jo qui me porte la selette, 600m en 1 h, jeune à donf le Papi…. Déco seul parapentiste + qques Detliste en formation, dans une brise moyenne. Vol écourté car je manque de Niak, il fait froid, je prends une bonne fermeture, posé heureux à coté du CC, Réjane et Quentin. Le même aprés midi, Deux parapentistes partis aprés moi, partent vers Maurel, avec un sacré Plaf, à priori un sacré cross....</t>
  </si>
  <si>
    <t>Thermiques au dessus du rocher école, teigneux et mal organisés, difficiles à maitriser, plus facile sur les faces sud d'Herran</t>
  </si>
  <si>
    <t>Face à la vallée, travers G</t>
  </si>
  <si>
    <t>360 mieux que précédent quoique trop rapide encore</t>
  </si>
  <si>
    <t>du 500, dos voile, RAS</t>
  </si>
  <si>
    <t>Wings</t>
  </si>
  <si>
    <t>du 700, dos voile, bon recentrage + commandes, mais clef qui s'enlève toute seule</t>
  </si>
  <si>
    <t>Bonne sortie de la face SO, plaf ou presque à 2700, puis traversée vers Mont, arrivée au dessus de la crête de Pouyaué, plaf à 2850, transition vers Cap de Pène, puis thermiques pas assez organisés, lente descente vers les</t>
  </si>
  <si>
    <t>Agudes, puis transition vers Oo, attéro sans problème après lente glissade sur le site à soaring de Oo</t>
  </si>
  <si>
    <t>Vol très satisfaisant, débuts de fermetures bien maitrisées, premier à partir en transition, bon thermique seul sur la crête Peyresourde - Lion, photos, bonheur….</t>
  </si>
  <si>
    <t>Du 2000 sous le Cap de Pale, face voile dans du sud !!!!</t>
  </si>
  <si>
    <t>Un peu de soaring dans le sud faiblissant, puis longue et un peu limite transition vers l'attéro.</t>
  </si>
  <si>
    <t>Ras quoique un peu rapide</t>
  </si>
  <si>
    <t>Wings pas très bons, petite fermeture à G sur une inversion</t>
  </si>
  <si>
    <t>Vol et atterrissage</t>
  </si>
  <si>
    <t>Exercices, remarques</t>
  </si>
  <si>
    <t>N° Vol</t>
  </si>
  <si>
    <t>Date</t>
  </si>
  <si>
    <t>Voile</t>
  </si>
  <si>
    <t>Région</t>
  </si>
  <si>
    <t>Décollage</t>
  </si>
  <si>
    <t>Vol</t>
  </si>
  <si>
    <t>Atterrissage</t>
  </si>
  <si>
    <t>Vz +</t>
  </si>
  <si>
    <t>Vz -</t>
  </si>
  <si>
    <t>A1 max</t>
  </si>
  <si>
    <t>A2 max</t>
  </si>
  <si>
    <t>Durée</t>
  </si>
  <si>
    <t>Exercices</t>
  </si>
  <si>
    <t>Météo</t>
  </si>
  <si>
    <t>Compt</t>
  </si>
  <si>
    <t>Dist</t>
  </si>
  <si>
    <t>Dén.</t>
  </si>
  <si>
    <t>Dist.</t>
  </si>
  <si>
    <t>Cross</t>
  </si>
  <si>
    <t>Encadrements</t>
  </si>
  <si>
    <t>Remarques</t>
  </si>
  <si>
    <t>Alpes- Samoens</t>
  </si>
  <si>
    <t>Beaucoup de vent, assistance aux élévateurs</t>
  </si>
  <si>
    <t>Sous assistance radio totale, mais que c"est haut !</t>
  </si>
  <si>
    <t xml:space="preserve">Idem radio, </t>
  </si>
  <si>
    <t>Stage initiation chez Waga, Vielle Aure du 27 sept. au 01 oct. 97</t>
  </si>
  <si>
    <t>US Voiles Zephir 95</t>
  </si>
  <si>
    <t xml:space="preserve">Pyrénées-Vallée d'Aure </t>
  </si>
  <si>
    <t xml:space="preserve">Pente école à Ens </t>
  </si>
  <si>
    <t>Bruno, Samy</t>
  </si>
  <si>
    <t>Matin bien, bon gonflage, à partir de 15h, trop de vent</t>
  </si>
  <si>
    <t>Pyrénées-Vallée d'Aure</t>
  </si>
  <si>
    <t>Ens, pas de vrai contrôle visuelle</t>
  </si>
  <si>
    <t>Totalement calme, super, super, super</t>
  </si>
  <si>
    <t>Sailhan, mauvaise approche, branche arrière approximative</t>
  </si>
  <si>
    <t>Bruno, Yo</t>
  </si>
  <si>
    <t>Vol super, aucune peur, l'euphorie</t>
  </si>
  <si>
    <t>Toutes petites turbulences</t>
  </si>
  <si>
    <t>Quelques sensations aux secousses.</t>
  </si>
  <si>
    <t>Les Granges Grascouéou, 1er gonflage raté, pas de frein, casquette</t>
  </si>
  <si>
    <t xml:space="preserve">Trés calme, mais gros stress, selette très mal réglé (lombaires), </t>
  </si>
  <si>
    <t>Vielle Aure, correct aux ordres de Bruno</t>
  </si>
  <si>
    <t>180° au lieu d'un 360 demandé</t>
  </si>
  <si>
    <t>Thermo-dyn fort sur coche cabanne, plaf à 1900 pour la Tournette, nuage pour trans difficile vers le Lanfonnet, limite au passage du venturi, Gégé ne passe pas, Jeff avec le bi Atral passe plus bas, il se fait fermer. Dts de Lanfon facile mais trans impossible pour le Veyrrier. Demi tour au chateau de la Charbonnière pour le déco de Planfait. Reprise facile en dyn sur la face O des Dts de Lanfon puis retour et repose au déco à Montmin guidé par Roland. +3 devant le déco</t>
  </si>
  <si>
    <t>Face voile, fort travers D, plusieurs essais de prégonfflage, fermeture… dur dur</t>
  </si>
  <si>
    <t>Séance photos et films devant le déco et jusqu'au dessus du Lac, terrain du bout du Lac, brise forte, début d'écume sur le Lac, descente verticale en arrière de l'attéro.</t>
  </si>
  <si>
    <t>Sailhan minable, le nez dans l'herbe</t>
  </si>
  <si>
    <t>Plat d'Adet, dos voile, sans vent, Ok</t>
  </si>
  <si>
    <t>Vignec, Ok</t>
  </si>
  <si>
    <t>360, wing</t>
  </si>
  <si>
    <t>La Serre, avec Jean, face voile, contrôle difficile puis fermeture rapide coté droit en entrant dans un thermique.</t>
  </si>
  <si>
    <t>Tehrmiques puissants, Les granges, traversée vallée, dyn à Ens</t>
  </si>
  <si>
    <t>Vache prévue à 2000m sous le Pic de Coume à coté cabanne berger</t>
  </si>
  <si>
    <t>Mon + gros vol, avec Jean comme guide dans la première partie, un des plus beau vols du jour</t>
  </si>
  <si>
    <t>Pic de Coum, 100 m au dessus cabanne attéto précdent</t>
  </si>
  <si>
    <t>Dyn. faiblissant</t>
  </si>
  <si>
    <t>Grosse fatigue, plus guère de jus</t>
  </si>
  <si>
    <t>Saint Hilaire du Touvet</t>
  </si>
  <si>
    <t>1er déco, refus d'obstacle, peur de se jeter, voile dans les ronces, 2ième, mieux avec un peu de vent de face</t>
  </si>
  <si>
    <t>Prudent et pas rassuré, assez en avant du relief</t>
  </si>
  <si>
    <t>Lumbin, bcp trop court, trop rapide</t>
  </si>
  <si>
    <t>Très, trop impressionné, à réapprocher en dehors de la coupe Icare</t>
  </si>
  <si>
    <t xml:space="preserve">Nouvelle Selette Air Bulle Power </t>
  </si>
  <si>
    <t>Col d'Azet, sous les antennes, dos voile pas très bons, pas assez freiné</t>
  </si>
  <si>
    <t>Traversée de la vallée pour Ens, un peu de dynamique.. vol désagréable, turbulences bizarres</t>
  </si>
  <si>
    <t>Plutôt correct malgrés les turbulences et le gradient</t>
  </si>
  <si>
    <t>Avec ma nouvelle selette j'ai d'abord cru qu'in m'avait changé ma voile</t>
  </si>
  <si>
    <t>Ager</t>
  </si>
  <si>
    <t>Dynamique laminaire faible dans la combe au dessus de Cadeilhan</t>
  </si>
  <si>
    <t>Vignec Fédéral, seul un peu long dans les maïs coupés</t>
  </si>
  <si>
    <t>Bonnes sensations dans le dynamique</t>
  </si>
  <si>
    <t>Ens, Glissade de la voile sur la G. bien rattrapée</t>
  </si>
  <si>
    <t>Dynamique faiblard, descente progressive</t>
  </si>
  <si>
    <t>Sailhan, vent travers accepté pour laissé priorité à Monique</t>
  </si>
  <si>
    <t>Correction tangage</t>
  </si>
  <si>
    <t>Bonne négo approche à deux</t>
  </si>
  <si>
    <t>PLat d"Adet, 1er Gonfflage raté, trop précipité, trop de stress</t>
  </si>
  <si>
    <t>Vielle Aure, autonome, précis</t>
  </si>
  <si>
    <t>Bon atterrissage</t>
  </si>
  <si>
    <t>Les Granges, propre</t>
  </si>
  <si>
    <t>Vent de cul</t>
  </si>
  <si>
    <t>Oreilles + Wings moyens</t>
  </si>
  <si>
    <t>Bruno, Jean</t>
  </si>
  <si>
    <t>Il faut regarder la manche à air !</t>
  </si>
  <si>
    <t>Plat d'Adet, tempo trop longue, voile presque arrêtée</t>
  </si>
  <si>
    <t>Vielle Aure, vent moyen, autonome</t>
  </si>
  <si>
    <t>Jean, Bruno</t>
  </si>
  <si>
    <t>Trouver la bonne cadence pour mieux engager les Wings</t>
  </si>
  <si>
    <t>Le Serre, vent faible de face</t>
  </si>
  <si>
    <t>Prise de qques thermiques sans trop faire exprès sous les directives de Bruno</t>
  </si>
  <si>
    <t>Vielle Aure, trop rapide</t>
  </si>
  <si>
    <t>8 et 360 en thermique, oreilles + Wings</t>
  </si>
  <si>
    <t>Première tentative en thermique, les dégueulantes ne sont jamais très loin</t>
  </si>
  <si>
    <t>Plat d'Adet, vent de face Ok</t>
  </si>
  <si>
    <t>Traversée vallée d'Aure + dynamique Ens</t>
  </si>
  <si>
    <t xml:space="preserve">Sailhan, vent fort, seul mais 200m hors terrain au vent </t>
  </si>
  <si>
    <t>Maitrise tangage en turbulences. Attérro aux oreilles</t>
  </si>
  <si>
    <t>Pas de prise en compte suffisante du vent à l'atterro, avec les oreilles on n'avance pas plus vite</t>
  </si>
  <si>
    <t>Plat d'Adet, 1er gonfflage raté, vent latéral</t>
  </si>
  <si>
    <t>Descente ralentie par dynamique très faible</t>
  </si>
  <si>
    <t>Vignec Waga, trop long, géné par autre voile</t>
  </si>
  <si>
    <t>Il faut prendre en compte le vent à l'atterro</t>
  </si>
  <si>
    <t>Les Granges correct</t>
  </si>
  <si>
    <t>Réglages dorsales selette</t>
  </si>
  <si>
    <t>Vielle Aure</t>
  </si>
  <si>
    <t>Tangage et roulis provoqué</t>
  </si>
  <si>
    <t>Je retrouve la Sentra  sur laquelle nous dénouons des noeuds dans les cordes d'accélérateur donnant à la voile une accélération permanente fixe.</t>
  </si>
  <si>
    <t>Plat d'Adet, correct</t>
  </si>
  <si>
    <t>Vignec</t>
  </si>
  <si>
    <t>Beurk le tangage.</t>
  </si>
  <si>
    <t>Plat d'Adet, vent soutenu</t>
  </si>
  <si>
    <t>Dynamiqe devant le déco, +300 m/ déco</t>
  </si>
  <si>
    <t>Vignec Waga, trop long</t>
  </si>
  <si>
    <t>Oreilles</t>
  </si>
  <si>
    <t>A l'issue du gain, j'ai touché le vent météo, qques turbulences</t>
  </si>
  <si>
    <t>Plat d'Adet correct</t>
  </si>
  <si>
    <t>Tenue de cap très propre</t>
  </si>
  <si>
    <t>Vielle Aure précis</t>
  </si>
  <si>
    <t>1ère ouverture de vol</t>
  </si>
  <si>
    <t>Le Serre, sans vent, longue course rapide, super</t>
  </si>
  <si>
    <t>Bonne tenue en thermique sous les directives de Bruno, douleur au bras gauche à force de tourner</t>
  </si>
  <si>
    <t>Vielle Aure, Impeccable</t>
  </si>
  <si>
    <t>Bruno, Jean Philippe</t>
  </si>
  <si>
    <t>Grosse fatigue à l'arrivée, je suppose due à l'infflux nerveux laissé dans le vol</t>
  </si>
  <si>
    <t>Plat d'Adet, avant lachés trop vite</t>
  </si>
  <si>
    <t>Vol brouillon, beaucoup de perte de hauteur dansla traversée de la vallée au dessus de St Lary</t>
  </si>
  <si>
    <t>Sailhan, vent modéré, seul mais hors terrain de 4/5 m</t>
  </si>
  <si>
    <t>Bruno, Jean en l'air</t>
  </si>
  <si>
    <t>Pas assez de concentration, vol brouillon, Jean dit que j'ai perdu le feeling</t>
  </si>
  <si>
    <t>Plat d'Adet, Vent arrière difficile</t>
  </si>
  <si>
    <t>Vignec Waga, un peu long</t>
  </si>
  <si>
    <t>Essais de virages successifs</t>
  </si>
  <si>
    <t>Super</t>
  </si>
  <si>
    <t>Les Granges - 2 ratés, une rafale puis manque de vitesse</t>
  </si>
  <si>
    <t>Un peu de thermique pour pas descendre trop vite</t>
  </si>
  <si>
    <t>Vielle Aure, ai failli atterir vent de dos</t>
  </si>
  <si>
    <t>Vérifier la position des manches à air, pensé à l'atterrissage dés que la décision de rentrer est prise</t>
  </si>
  <si>
    <t>Plat d'Adet - Correct</t>
  </si>
  <si>
    <t>Trop de mouvement de main parasite, tenir l'aile n'est pas pinailler</t>
  </si>
  <si>
    <t>Vignec FFVL</t>
  </si>
  <si>
    <t>1.75</t>
  </si>
  <si>
    <t>Roulis tangage oreilles</t>
  </si>
  <si>
    <t>Atéro autonome</t>
  </si>
  <si>
    <t>Vignec FFVL, vent soutenu, même que je suis le seul du stage à voler</t>
  </si>
  <si>
    <t>Atterrissage vent soutenu</t>
  </si>
  <si>
    <t>Jean, Yves</t>
  </si>
  <si>
    <t>Ne pas se laisser glissé sous le vent du terrain</t>
  </si>
  <si>
    <t>Ens</t>
  </si>
  <si>
    <t>Un peu de soaring</t>
  </si>
  <si>
    <t>Sailhan, trop prés du terrain en approche</t>
  </si>
  <si>
    <t>Gonfflages</t>
  </si>
  <si>
    <t>Essayer de sentir la voile au déco sans la voir</t>
  </si>
  <si>
    <t>Pladères, vent de travers, stress de l'attente de la girouette</t>
  </si>
  <si>
    <t>Direct direction atérro</t>
  </si>
  <si>
    <t>NO 25/30kmh</t>
  </si>
  <si>
    <t>7 mini vols sur la pente école de Vénascle</t>
  </si>
  <si>
    <t>Aurait pu être plus long</t>
  </si>
  <si>
    <t>Fermeture assymétrique D et G, 360 G</t>
  </si>
  <si>
    <t>1er essai d'asymétrique en prenant les 3 élévateurs A, l'aile part en doucement en autorot puis semble accélérer, réouverture en pompant</t>
  </si>
  <si>
    <t>600, dos voile, course d'élan longue et un peu laborieuse</t>
  </si>
  <si>
    <t>360° à D en lisant réguliérement le vario</t>
  </si>
  <si>
    <t>Ca commence à rentrer, j'encaisse mieux la centrifugation, petite phase de flou avant de reprendre tous mes esprits</t>
  </si>
  <si>
    <t>700, dos voile, un peu bas car sensation que la brise de St Laru rentrait par dessus</t>
  </si>
  <si>
    <t>Gain difficile au début, sous la barre rocheuse, puis en centrant bien mal les th.</t>
  </si>
  <si>
    <t>Oreilles+ acc. -4m/s</t>
  </si>
  <si>
    <t>Vol arrêté pour cause de crash d'un jeune de Marmande "secours", pas de dégât</t>
  </si>
  <si>
    <t>Téléphérique, dos voile pas assez de contrôle visuel</t>
  </si>
  <si>
    <t>Lutte difficile et perdue pour passer au dessus de la station sous Trèfle, puis gain sympa au dessus de Ens</t>
  </si>
  <si>
    <t>Après une longue descente, au déco de Ens, turbulent, +5m alors que l'allais poser</t>
  </si>
  <si>
    <t>360°  7/8 tours pour -200m dans du +1 ou 2 m/s</t>
  </si>
  <si>
    <t>Arrêt de motivation, haut et seul ! Je ne savais plus par où aller, nuage un peu menaçant, vaches trop petites, mais c'est un bon début</t>
  </si>
  <si>
    <t>Ens plus de vent, dos voile après échec de gonflage face voile</t>
  </si>
  <si>
    <t>Un peu de dynamique puis rentrée cool..</t>
  </si>
  <si>
    <t>FFVL, sans trop de problème, qques bulles au dessus des maisons coté Vignec</t>
  </si>
  <si>
    <t>360° à G, Qques Wing</t>
  </si>
  <si>
    <t>Ens Parking face voile</t>
  </si>
  <si>
    <t>Dynamique sans réussir à passer la "marche" au dessus du déco.</t>
  </si>
  <si>
    <t>Ens déco</t>
  </si>
  <si>
    <t>360</t>
  </si>
  <si>
    <t>Ens déco face voile</t>
  </si>
  <si>
    <t>Castejon de Sos</t>
  </si>
  <si>
    <t>360° D et G, 3/4 trs à chaque fois</t>
  </si>
  <si>
    <t>Bon vol après le cross,</t>
  </si>
  <si>
    <t>Brunas, dos voile, pas assez de frein</t>
  </si>
  <si>
    <t>Oreilles, -1,5 m/s / + acc. -2,5 m/s</t>
  </si>
  <si>
    <t>Michel pas loin</t>
  </si>
  <si>
    <t>Ca descend pas tant que ça, essai à renouveller</t>
  </si>
  <si>
    <t>Essai thermique, assez nul</t>
  </si>
  <si>
    <t>Vent de cul ! J'ai interprété le sens de la manche à air à l'envers</t>
  </si>
  <si>
    <t>Pas très bon tout ça…</t>
  </si>
  <si>
    <t>Saint André Les Alpes</t>
  </si>
  <si>
    <t>Sud-Est, pas de vent, Ok</t>
  </si>
  <si>
    <t>Ecole Aérogliss Ok</t>
  </si>
  <si>
    <t>Wing mal cadensés</t>
  </si>
  <si>
    <t>Ecole Aérogliss Ok sous un début de pluie</t>
  </si>
  <si>
    <t>360° mouligasse</t>
  </si>
  <si>
    <t>Sud-ouest, vent soutenu avec de l'aide</t>
  </si>
  <si>
    <t>Plouf, passage par le Moriez et le col</t>
  </si>
  <si>
    <t>Moriez</t>
  </si>
  <si>
    <t>Sud Ouest, dos voile ok</t>
  </si>
  <si>
    <t>Ecole Aérogliss, vent pas assez pris en compte, arbres évités limites</t>
  </si>
  <si>
    <t>Ecole Aérogliss ok</t>
  </si>
  <si>
    <t>Wing et 360°</t>
  </si>
  <si>
    <t>Début de solution pour les wings</t>
  </si>
  <si>
    <t xml:space="preserve">360 à D pour redescendre vers la station, </t>
  </si>
  <si>
    <t>Quelques difficulté à sortir de la crête à G du déco, puis thermique un peu anémique jusqu'à monter un peu sous le haut de la grappe, transition vers la Station de Val Louron où je dois faire de la pente école dans le cadre de la préfo Qbi, je reprends un jolie thermique à la limite de la crête N / à la vallée, plaf aux alentours de 2260 m, alors que Ricaud m'a rejoint puis doublé dans le thermique. Qques minutes plus tard, Gilles et Vincent me rejoignent.Jolie attéro en descente le long de la pente des pistes de ski, face à la station de Val Louron, finale en manque de vitesse, gradient !</t>
  </si>
  <si>
    <t>Couraduque, vent soutenu, léger travers, face à la voile, qui m'arrache alors que j'essaye de la remettre dans l'axe, déco twisté, repose après avoir calmé le jeu puis déco</t>
  </si>
  <si>
    <t>Anticyclone, NO 30/40</t>
  </si>
  <si>
    <t>Anticyclone, NO 40/50</t>
  </si>
  <si>
    <t>Anticyclone, N 20/30</t>
  </si>
  <si>
    <t>Anticyclone, N 10/25</t>
  </si>
  <si>
    <t>Balade dans le bocal, après avoir tenu dans la combe sud du déco de Super Bagnères, long mazéguage sur Herran avant de transiter vers le Poujastou avec Freddy en Oméga 3, contré par le NO, impossible d'aller vers le Burat</t>
  </si>
  <si>
    <t>Déco du Pla d'Adet, bien tiré par Sammy, je mets un temps fou pour sortir des Granges de Grascouéou, et je suis Sammy vers ebs ou je me pose sous le déco</t>
  </si>
  <si>
    <t>Soaring à Ens, posé au déco</t>
  </si>
  <si>
    <t>Vol fabuleux, Après quelques ziguigui devant le déco de Super, gors thermique dans la combe sud à droite du déco pour un premier plaf à 2500. Ensuite les combes Sud de la vallée du lis, le Céciré à 2500 toujours, reprise dans la face Est du Val d'Esquierry pour 2750, tour du Montségu / Cap des Hittes, retour en fond du Valk d'Esquierry, re thermique pour 2700, transition vers le Cap de Pouy pour 2600, transition vers la butte au dessus de l'aérodrone de Luchon pour un thermique difficile car cisallé par le NO, mais 2650 quand même, transition vers le Burat, passage sur sa face O, balise au Cap de Bales?, retour au ras dada, sous 1000m à Herran, remontée jusqu'à 1600, ras le bol d'être secoué, retour à l'attéro en 360.</t>
  </si>
  <si>
    <t>Vent de cul 5/10</t>
  </si>
  <si>
    <t>Sorti sans problème du déco du 700, thermique pour 2700 vertical relais. Transition vers le S et re2700 au dessus de la station de Val Louron, transition vers Peyragude et thermique anémique puis plus puissant au dessus de Germ. Pierre Deblushère me montre ensuite le chemin, 2700 au dessus du Val d'Aube, Cap de Pale, Cap des Hittes, Montségu, face sud du Val d'Esquierry ce qui est une connerie, j'aurais du passer par le nord car je suis sous le vent, mais pas de problème (Il me manqué quelques mètres pour être tranquilement à cheval sur la crête...). Thermique sur la face SE du Val d'Esquierry pour 2850 (idem au vol du 21/03), transition vers la face SO au dessus du Lac d'Oo. A ce moment là, quand j'ai du mal à trouver le thermique, Pierre en est déjà parti et quand j'arrive en face sud du Cécirè, je l'ai carrément perdu de vue. En tentant un retour vers Val Louron (trés contré), je trouve un thermique qui me monte à 2900. Du coup, demi tour vers l'E et transition direct pour Herran , thermique à l'E des Cabannes au dessus des sapins, 1800, transition vers la deuxième crête, gros thermique pour 2400, au dessus du Poujastou. Transition pénible vers le Burat, arrêt à mi distance entre Poujastou et Montmajou pour cause de N trop fort. Attéro dans la brise forte à l'aérodrome de Luchon, vitesse sol = 0</t>
  </si>
  <si>
    <t>Essais ratés de gonfflage face voile puis Ok dos voile</t>
  </si>
  <si>
    <t>Un peu de gain en passant dans des bulles, meilleur contrôle de la voile</t>
  </si>
  <si>
    <t>Autonome, trop de vitesse, virage trop rapide</t>
  </si>
  <si>
    <t>Accous Pyr. Atl.</t>
  </si>
  <si>
    <t>Delta 1226 Contrôle visuel Ok, léger dégonfflage</t>
  </si>
  <si>
    <t>Tout droit vers la vallée, qques virages, traversée d'un ban de brouillard</t>
  </si>
  <si>
    <t>Trop long, vent arrière léger, bon freinage</t>
  </si>
  <si>
    <t>Il faut s'habituer, pas de sensation</t>
  </si>
  <si>
    <t>Delta 1226 dans le nuage, un peu craignosse, je n'aurais pas y aller</t>
  </si>
  <si>
    <t>Dynamique d'Arrapoup, 2 A/R puis attéro,</t>
  </si>
  <si>
    <t>Tour complet du terrain, PT8, finale trop longue, mauvaise prise en compte vent</t>
  </si>
  <si>
    <t>RAS, optimisation de la finesse</t>
  </si>
  <si>
    <t>Planaute, alimenté, dos voile, peu de contrôle visuel</t>
  </si>
  <si>
    <t>Début de pluie, 2/3 tours dans des bulles, puis descente rapide</t>
  </si>
  <si>
    <t>Qques Wings, mieux cadencés à gauche qu'à droite.</t>
  </si>
  <si>
    <t>Face à la voile, plutôt bon, mais clef pas vu qui s'est défaite toute seule avant le déco proprement dit.</t>
  </si>
  <si>
    <t>Grosse fermeture après qques minutes de vol, (thermique, technique de vol ???) puis thermiques hachés, aérologie turbulente</t>
  </si>
  <si>
    <t>Comment ne pas fermer ????</t>
  </si>
  <si>
    <t>4 ième fermeture à 50%, réouverture violente, dans l'axe, mais perte d'altitude assez importante (15 à 30 m ??)</t>
  </si>
  <si>
    <t>Site de Novis en sud-est soutenu (35/50 à la Puncho) Face à la voile correct.</t>
  </si>
  <si>
    <t xml:space="preserve">Dynamique laminaire fort, difficile de descendre, </t>
  </si>
  <si>
    <t>Ok, en stationnaire assez longtemps avant de réussir à descendre les derniers mètres, plutôt satisfaisant</t>
  </si>
  <si>
    <t xml:space="preserve">Qques Wings, 360° léger, </t>
  </si>
  <si>
    <t>St André Les Alpes</t>
  </si>
  <si>
    <t>Face à la voile Ok après avoir attendu le début de cycle, prise du thermique assez rapide</t>
  </si>
  <si>
    <t xml:space="preserve">St André </t>
  </si>
  <si>
    <t>NO faible à modéré</t>
  </si>
  <si>
    <t>Megève</t>
  </si>
  <si>
    <t>Régime de brise</t>
  </si>
  <si>
    <t>Oraison, 04</t>
  </si>
  <si>
    <t xml:space="preserve">Chamonix, </t>
  </si>
  <si>
    <t>O faible et brise</t>
  </si>
  <si>
    <t>St Lary, 65</t>
  </si>
  <si>
    <t>Voile modéré de NO et brise modéré</t>
  </si>
  <si>
    <t>2,5</t>
  </si>
  <si>
    <t>déco NO, RAS</t>
  </si>
  <si>
    <t>Sensation étrange, un espèce de méga soaring partout devant le déco et des turbulences incompréhensibles, je préfère assez rapidement rentré craignat de l'onde</t>
  </si>
  <si>
    <t>Déco de Plan Praz vers 11h30, dos voile Ok</t>
  </si>
  <si>
    <t>Premieres bulles à D. du déco après le pierrier dans les barres rocheuses. Longtemps à la cote 2000, c'est dans le dynamique du pierrier que j'arrive à sortir. Passage aérien et très impressionnant au dessus du Brévent. Brrrr que la station du téléphérique est impressionnante. Bascule et transition bien basse (2600) vers le Pormenaz ? que je raccroche vers 1800m. Une Nova me montre le thermique salvateur pour remonter vers 2000 et transiter vers les barres rocheuses qui mêne vers Plane Joux. Impossible de me refaire, attéro en toute quiétude à Servoz.</t>
  </si>
  <si>
    <t>Déco face voile, 2O/25 km/h, dérapage controlé sur la G de la voile</t>
  </si>
  <si>
    <t>Thermo dynamique bien sympa pour faire de la durée et apprendre à décaler. Je me fait prendre une fois sous le thermique, retour difficile et un peu bas vers l'attéro. Qques delta prennent + de 2000 et font un beau cross vers Valensole avec retour</t>
  </si>
  <si>
    <t>5 pentes écoles assez correct</t>
  </si>
  <si>
    <t>Ens officiel, dos voile, Ok</t>
  </si>
  <si>
    <t>Soaring  en dynamique. Un passage bas à -140m du déco, reprise sur la partie G du site. Deux essais infructeux d'attéro au déco. Attéro au déco pas très bon, trop de vitesse, trop travers au vent.</t>
  </si>
  <si>
    <t>Quasiment le nuage au dessus du déco, pour suivre la meute vers le Cheval blanc, plaf suffisemment haut pour transiter vers côte longue, reprise en bas de la crête, 2 A/R avant de trouver un gros thermique qui me monte à 3350 avec du +8, retour vers St André</t>
  </si>
  <si>
    <t>St Antonin Noble Val</t>
  </si>
  <si>
    <t>O</t>
  </si>
  <si>
    <t>Relais, légèrement alimenté</t>
  </si>
  <si>
    <t>Relais, sans vent, correct</t>
  </si>
  <si>
    <t>SO sans vent, trop rapide</t>
  </si>
  <si>
    <t>O, scéance gonflage puis déco</t>
  </si>
  <si>
    <t>Essai de tangage, elle passe un peu plus devant que l'Espilon mais guère.</t>
  </si>
  <si>
    <t>Wings, pas bien cadencé</t>
  </si>
  <si>
    <t>Scéance de gonflage sur la pente en herbe O au dessus de St Antonin, puis descente ralentie par le vent météo, très agréable, attéro : manque de ressource/freinage</t>
  </si>
  <si>
    <t xml:space="preserve">Juste le temps d'envoyer quelques Wings </t>
  </si>
  <si>
    <t>Supernagnère en parallèle de la compet</t>
  </si>
  <si>
    <t>en passant par Brunel ?, passage au dessu du déco, puis direction Moustiers pour voir le début du parcours, mais gros nuage tirant fort, retour vers l'attéro, oreilles et accéléarteur à fond, pas tré fier. attéro exténué, vidé….</t>
  </si>
  <si>
    <t>Mon plus gros vol, mes plus gros chiffres pour l'instant, 35 km, + 1800, 3350, 2h40', vol m'ayant coûté bcp de concentration après mes mulitples fermetures, très très fatigant, mais quelles satisafaction après coup de l'avoir réalisé.</t>
  </si>
  <si>
    <t>Creissac</t>
  </si>
  <si>
    <t>La Puncho</t>
  </si>
  <si>
    <t>Pic d'Andan</t>
  </si>
  <si>
    <t>Larnagole</t>
  </si>
  <si>
    <t>Aucun, Hautacam</t>
  </si>
  <si>
    <t>Nervures Stromboli</t>
  </si>
  <si>
    <t>MCC Challanger</t>
  </si>
  <si>
    <t>Déco dos voile : Bon en général, gonfflage tjrs Ok, ne pas lacher les avants trop tôt, de nouveau contrôle visuel</t>
  </si>
  <si>
    <t>Déco Face voile : Vraiment môche, ça décolle mais merci l'Astral. En général la voile passe devant au moment ou je me tourne et fermeture asymétrique</t>
  </si>
  <si>
    <t>(que j'arrive parfois à rattraper) soit frontale ! Y'a du boulot !!!!</t>
  </si>
  <si>
    <t>Vol : Meilleure tenue de la voile, tangage mieux contrôlé, roulis pris en charge par le réglage ventral serré, ça commence à venir mais patience, patience…</t>
  </si>
  <si>
    <t>Anticyclonique, très stable</t>
  </si>
  <si>
    <t>Anticyclonique, stable</t>
  </si>
  <si>
    <t xml:space="preserve">Anticyclonique, </t>
  </si>
  <si>
    <t>Superbagnère, vers 12h45,</t>
  </si>
  <si>
    <t>Pa sgrand chose à gratter, qques bulles au dessus de la ville</t>
  </si>
  <si>
    <t>Superbagnère, vers 16h,</t>
  </si>
  <si>
    <t>Transition vers Herran, sans y gratter, direct sur une face sud puis long mazegage sur le bas de la crête du Poujastou sans jamais réussir à sortir</t>
  </si>
  <si>
    <t>Superbagnère vol du matin</t>
  </si>
  <si>
    <t>J'ouvre le vol pour les nanas</t>
  </si>
  <si>
    <t>Superbagnère</t>
  </si>
  <si>
    <t>Rien sous le déco, transition avec un bon thermique en milieu de vallée qui me permet d'aller directement au dessus de la crête après Herran. Deux voiles me rejoignent et m'ouvre la voie. D'abord pour remonter l'arrête jusqu'au Poujastou (plaf) puis pour aller au Montmajou ou je me fait enfermer dans la face sud pour une grosse dégeulante, je ressort par la crête sous le Pojastou.</t>
  </si>
  <si>
    <t>Cap de Pale, en 4x4 avec Patrick</t>
  </si>
  <si>
    <t>J'ouvre le vol pour Marc, Yoyo, Pascale et Nathalie. Dommage cette dernière n'arrive pas à passer au dessus du déco du 400 à Oo. Attéro dans une très légère brise descendante.</t>
  </si>
  <si>
    <t>Beaucoup de mal à sortir par la crête nord après les cabannes d'Herran. Mais avec trois cycles je fini par sortir et faire le plaf qu dessu du Poujastou. J'attéris sur le sommet au dessus d'Herran ou Patrick est monté à pied.</t>
  </si>
  <si>
    <t>du sommet précedent</t>
  </si>
  <si>
    <t>Descente tout en douceur dans la baisse d'activité du soir, au dessus de Luchon, ça ne descendait quasiment plus !</t>
  </si>
  <si>
    <t>360 pour descendre rejoindre Patrick</t>
  </si>
  <si>
    <t>Soaring en bord de mer, assez vite compris, beaucoup de contrôle sellette, deux petites fermetures insignifiante</t>
  </si>
  <si>
    <t>Sud léger</t>
  </si>
  <si>
    <t>Cornudère, en sud</t>
  </si>
  <si>
    <t>Wings, 360</t>
  </si>
  <si>
    <t>Relais, gonflage long,</t>
  </si>
  <si>
    <t>Il faut soigner le gonflage, qui est long en gardant longtemps les A en pression, après un point dur, elle accélère franchement et il vaut mieux accélérer avec elle. Quelle planée, j'arrive au dessus du terrain avec une super marge.</t>
  </si>
  <si>
    <t>Premier vol avec ma Quarx, décollage un peu osé pour un début, mais avec une bonne impulsion ça passe, vol planant, pas mal d'exercices, attéro dans la cible. Les commandes sont longues, demandent pas mal de débattement, sans effort, en revanche les réactions sont amples et vives. Je ferme le bout d'aile int. en fin de wings (virage à G, léger clignotement à G sur le basculement à D), la sortie de 360 demande à être pilotée.</t>
  </si>
  <si>
    <t>Pech David</t>
  </si>
  <si>
    <t>O - NO</t>
  </si>
  <si>
    <t>Gonflage 1h environ dans un vent faiblissant, elle est longue à monter, jusqu'au 2/3 environ puis accélère d'un seul coup et s'arrête sans difficulté au dessus de la tête. Elle est difficile à corriger pendant la montée sous peine de s'arrêter et retomber.</t>
  </si>
  <si>
    <t>Tout faux, abordé trop bas pour cause de flemme d'attérir sur la plage, trop à droite, trop devant, pas assez de frein, fin dans les arbustes dans la pente…</t>
  </si>
  <si>
    <t>Attéro lamentable, aurait pu être dangereux, emmélage suspentes suberbe….</t>
  </si>
  <si>
    <t>Prégonflage pour contrôle suspentage Ok, puis dos voile avec vent soutenu, tiré en arrière sur 2 ou 3 m, freinage assez fort pour éviter fermeture, globalement Ok</t>
  </si>
  <si>
    <t>Descendre, descendre, descendre… que les cums tirent</t>
  </si>
  <si>
    <t>Trop proche de la limite ligne EDF, mais finalement centré. Descente en PT8 trop violente, mais pouvais je faire autrement?</t>
  </si>
  <si>
    <t xml:space="preserve"> qques virages, oreilles, oreilles + accélérateur, 360° mieux engagés à G</t>
  </si>
  <si>
    <t>Vol important, personne n'a volé avant moi aujourd'hui sur le site pour cause de vent trop fort, seul, seul, seul. Malgrés oreilles + accélérateurs, descente difficile.</t>
  </si>
  <si>
    <t>Ens Parking Dos voile, bon contrôle voile, RAS malgrés vente léger, sortie du déco un peu trop à G</t>
  </si>
  <si>
    <t xml:space="preserve">Sailhan, partage terrain Ok avec bi en approche mais arrivée violente </t>
  </si>
  <si>
    <t>Vulcan M</t>
  </si>
  <si>
    <t>Thermique en sortie de déco, Penne blanque, Penne Nère, retour par le col au dessus de Penne Blanque, plaf à Bourrus, Thermique à Cham, Attéro à Fugaron</t>
  </si>
  <si>
    <t>Voile arrivant en SO</t>
  </si>
  <si>
    <t>Wings et 360</t>
  </si>
  <si>
    <t>Souech - Dausse</t>
  </si>
  <si>
    <t>N soutenu</t>
  </si>
  <si>
    <t>NO</t>
  </si>
  <si>
    <t>2 h sur Bourrus à jouer au Yoyo, au dessus de René qui s'est mis dans un arbre. Un peu pour rester avec lui, un peu parce que je n'arrivais pas à sortir. Finalement, en prenant un peu plus, je vais à Herran, puis jusque sous Penne Nère, retour par la coté Ouest de Bourrus, au ras des arbres, traversé vers le Mountagnac et attéro.</t>
  </si>
  <si>
    <t>Achat nouvelle selette Supair Altiplume XC avec Airbag 450 euros + Cockpit Advance 50 euros</t>
  </si>
  <si>
    <t>Descente aux oreilles, bon contrôle selette</t>
  </si>
  <si>
    <t>Grosse fatigue, content de rentrer, décision prise seule mais première tentative pour avancer infructueuse, deuxième Ok mais lente.</t>
  </si>
  <si>
    <t>APCO Sabra 22</t>
  </si>
  <si>
    <t>Le Serre (2000m), début de décomposition, première sensation des phases, mais toujours pas de vrai contrôle visuel.</t>
  </si>
  <si>
    <t>"Prises" dégueulantes en cherchant à prendre des thermiques, descentes oreilles + Wings timides</t>
  </si>
  <si>
    <t>Vielle Aure, RAS</t>
  </si>
  <si>
    <t>Oreilles + Wings timides sous les ordres de Yo</t>
  </si>
  <si>
    <t>Plat d'Adet, je regarde ma voile, mais...</t>
  </si>
  <si>
    <t>Approche Thermique au dessus de Vignec mais trop loin du relief, contrôle roulis selette.</t>
  </si>
  <si>
    <t>Vielle Aure, tès correct</t>
  </si>
  <si>
    <t>Contrôle roulis selette</t>
  </si>
  <si>
    <t>Ens, enfin je vois ma voile.</t>
  </si>
  <si>
    <t>Dynamique, bon contrôle voile dixit Bruno, difficulté à gérer les priorités avec autres voiles.</t>
  </si>
  <si>
    <t>Sailhan, vent fort, sous guidage total de Bruno, branche arrière pas assez sous le vent, prise terrain en travers et trop longue, contact violent : minable</t>
  </si>
  <si>
    <t xml:space="preserve">Gestion priorités avec un troupeau d'Anglais et le Bi de Bruno. </t>
  </si>
  <si>
    <t>Bruno, Bruno</t>
  </si>
  <si>
    <t xml:space="preserve">Avec un bi, mieux vaut passer devant lui en ne le génant pas dans ses virages sinon gare aux turbulences. </t>
  </si>
  <si>
    <t>Le Sere, pas assez de frein</t>
  </si>
  <si>
    <t>Limpide, sortie à hauteur des granges, descente oreilles et wings timides</t>
  </si>
  <si>
    <t>Vielle Aure, 360° en final car sentiment d'être trop haut,</t>
  </si>
  <si>
    <t>Oreilles + Wings timides</t>
  </si>
  <si>
    <t>Bruno, Luthe</t>
  </si>
  <si>
    <t>Intermédiaire, rejoint à pied (2h1/2), dos voile, seul dans du cailloux</t>
  </si>
  <si>
    <t>Thermiques difficiles, un peu de gain, bcp de Wx sur la barre rocheuse intermédiaire</t>
  </si>
  <si>
    <t>Terrain en pente, freinage trop tôt</t>
  </si>
  <si>
    <t>Vol difficile, difficulté à exploiter les acendances, mais que c'est beau</t>
  </si>
  <si>
    <t>du 600, dos à la voile, pas assez de frein, limite dépassement</t>
  </si>
  <si>
    <t>Wings, virages selette</t>
  </si>
  <si>
    <t>du 600, coté St Lary, tjrs pas assez de frein</t>
  </si>
  <si>
    <t>Fermeture asymétrique à droite</t>
  </si>
  <si>
    <t>du 600, face à la voile, après Sammy, catastrophique, récupéré deux fermetures…</t>
  </si>
  <si>
    <t>Gain en face Sud sous les antennes, 2000 au dessus antennes, traversée au dessus du col pour gain face sud sous le Peigne, passage station à 2100 pour traverser Vallée Val Louron, reprise aux cr^tes de "Pène de bas"</t>
  </si>
  <si>
    <t>Traversée du Val d'Aube pour face sud et passage à 2000m au dessus Peyragude, arrivée à + 700 au dessus de l'attéro</t>
  </si>
  <si>
    <t>360° à G 2 premiers trs lents puis 7/8 trs  à -10, 3/4 trs à droite.</t>
  </si>
  <si>
    <t>Merci à Sammy pour le guidage. Quel beau vol, vu un Cerf, 2 Izards….</t>
  </si>
  <si>
    <t>Déco sud, face voile, 1er essai raté, 2ième mieux, vent travers droit</t>
  </si>
  <si>
    <t>Thermique au dessus de la Puncho, souvent difficile à centrer, qques petit déplacement</t>
  </si>
  <si>
    <t>Au golf, dernier virage trop prés de sol, arrivée trop rapide</t>
  </si>
  <si>
    <t>Thermiques, 360 à D, pas très rapide mais tenu une dizaine de tours.</t>
  </si>
  <si>
    <t>Beaucoup de petites fermetures ext., essayer de ralentir l'aile et de plus tenir l'extérieur.</t>
  </si>
  <si>
    <t>Moulis</t>
  </si>
  <si>
    <t>Face voile, bien contrôlé, bonne temporisation, bon déco</t>
  </si>
  <si>
    <t>Soaring sur la crête, qques bulles, qques bonnes descendances</t>
  </si>
  <si>
    <t>Plutôt bon, sur le terrain entre terrain de foot et route.</t>
  </si>
  <si>
    <t>360° à G, tenu une dizaine de tours, bonne sortie mais un peu étourdi</t>
  </si>
  <si>
    <t>Premières minutes difficiles avant de retrouver des sensations, du mal pour récupérer accélérateur et micro</t>
  </si>
  <si>
    <t>Castejon</t>
  </si>
  <si>
    <t>du 2300, dos voile Ok</t>
  </si>
  <si>
    <t>Thermiques purs, 2x au plaf dont une un peu dans le nuage, début de tarnsition vers l'est puis demi tour….plutôt bas…</t>
  </si>
  <si>
    <t>Au déco Très bien</t>
  </si>
  <si>
    <t>Thermique, attéro au déco</t>
  </si>
  <si>
    <t>Descente : Toujours pas confiance aux oreilles, 360° sur deux tours droite et gauche genre virage quelque fois prise de vitesse, sortie moins violente.</t>
  </si>
  <si>
    <t>Accélérateur : Qques essais mais j'ai vraiment pas confiance dans les turbulences (pourtant petites)</t>
  </si>
  <si>
    <t xml:space="preserve">Atterro : Ok sur les vrais terrains mais très mauvais sur les décos, travailler les attéros par vent soutenu </t>
  </si>
  <si>
    <t>Axes de travail : Déco face voile, manœuvre de descentes, attéro aux décos et par vent soutenu</t>
  </si>
  <si>
    <t>Val Louron</t>
  </si>
  <si>
    <t>du 300 m, pas bon du tout, pas assez de frein, elle passe devant, ferme. Récupéré, elle rouvre, contrôle visuel puis déco</t>
  </si>
  <si>
    <t>Rapide, Cunimb grossissant peu engageant, plusieurs 360° G et D</t>
  </si>
  <si>
    <t>Léger travers droit, mal contrôlé</t>
  </si>
  <si>
    <t>360° large</t>
  </si>
  <si>
    <t>Yves</t>
  </si>
  <si>
    <t>Achat et premier vol avec le secours. 3000 F chez WAGA</t>
  </si>
  <si>
    <t>Longue temporisation avec beaucoup de frein en léger vent, déco à ma convenance</t>
  </si>
  <si>
    <t xml:space="preserve">Tjrs des gros nuages, qques gouttes, qques A/R en soaring puis essai de wings, oreilles, </t>
  </si>
  <si>
    <t>Un peu long sur le terrain officiel, mais au vue des hors terrain de delta qques minutes + tard, pas de reproche</t>
  </si>
  <si>
    <t>Lot, Saujac</t>
  </si>
  <si>
    <t>Planaute, premier à décoller, dans la neige, pas assez de contrôle visuel</t>
  </si>
  <si>
    <t>Un peu de thermique sur la crête de Péne Blanque</t>
  </si>
  <si>
    <t>Dernier virage à 5 m sol au dessus de Réjane</t>
  </si>
  <si>
    <t>Quel plaisir, de la glisse, un instant de pur bonheur dans l'air frais d'une première belle journée d'hiver</t>
  </si>
  <si>
    <t>Planaute, en N°3 après Jérôme et Vincent, RAS</t>
  </si>
  <si>
    <t>Thermques purs pour monter jusqu'au dessus de Pène Blanque, retour par la crête plus au NO</t>
  </si>
  <si>
    <t>Un peu long</t>
  </si>
  <si>
    <t>360 ° à Gauche sur 3/4 trs</t>
  </si>
  <si>
    <t>St Clar</t>
  </si>
  <si>
    <t>Treuil</t>
  </si>
  <si>
    <t>Planaute, pas de vent, légère tendance à dépasser</t>
  </si>
  <si>
    <t>Quelques thermiques sur la crête de Pène Blanque, en compagnie de Vincent LURDE,</t>
  </si>
  <si>
    <t>Pas vraiment face au vent, un peu rapide, la voile passe devant</t>
  </si>
  <si>
    <t>Planaute, sans vent, gonfflage énergique, prise en charge rapide, pas de contrôle visuel</t>
  </si>
  <si>
    <t>En travers du terrain, juste la bonne longueur</t>
  </si>
  <si>
    <t>Delta 1226m, dos voile, plutôt bon, bon contrôle visuel, léger vent de face</t>
  </si>
  <si>
    <t>Thermiques, entre déco et intermédiaire, petite incursion sur la crête ouest derrière le déco, nuage et plaf bien guidé par des vautours</t>
  </si>
  <si>
    <t>Vent soutenu, bien géré malgrés un dernier thermique à 5 m sol</t>
  </si>
  <si>
    <t>360° des deux cotés, qui m'ont rendu malade</t>
  </si>
  <si>
    <t>Jolie vol, un des meilleurs du jour, dommage que le repas du midi était indigeste + crainte de rentrés de nord.</t>
  </si>
  <si>
    <t>Antennes, difficile dans un espèce de rouleau</t>
  </si>
  <si>
    <t>Légèrement turbulent avec du météo d'ouest.</t>
  </si>
  <si>
    <t>Dernier virage trop bas + petite turbulance, fermeture sans conséquence et arrivée un peu trop rapide.</t>
  </si>
  <si>
    <t>Soueich</t>
  </si>
  <si>
    <t>Bon déco en deuxième après Philippe Thollon, face à la voile, rien de bien axtraordinaire</t>
  </si>
  <si>
    <t>Bon dynamique de NO, un peu trop ouest d'ailleurs, vitesse du vent quelquefois limite, accélérateur bienvenu</t>
  </si>
  <si>
    <t>Qques Wagas, rien de génial</t>
  </si>
  <si>
    <t>Gensac/Garonne</t>
  </si>
  <si>
    <t>Face à la voile, trop rapide, pas de véritable tempo, c'est la voile qui décolle, pas moi</t>
  </si>
  <si>
    <t>Très laminaire, un vrai régal, départ sur les buttes à G. du déco</t>
  </si>
  <si>
    <t>Dernier virage trop bas +  turbulance, contact avec le sol pas accadémique du tout, sans conséquence.</t>
  </si>
  <si>
    <t>Attéro non officiel.</t>
  </si>
  <si>
    <t>Mourtis</t>
  </si>
  <si>
    <t>Difficile, d'abord essai face à la voile, raté, changement de coin idem, puis gonfflage dos voile</t>
  </si>
  <si>
    <t>Guzet Neige</t>
  </si>
  <si>
    <t>Dos voile genre catastrophe, prise en charge lente, assis dans la selette trop tôt, neige vue de prés.</t>
  </si>
  <si>
    <t>Triangle, déco, Mont Béas, Col de Latrape?. Thermique large et puissant, 1er à partir en transition.</t>
  </si>
  <si>
    <t>Au déco re catastrophe</t>
  </si>
  <si>
    <t>Mon deuxième cross de + de 15 km, première transition de 7 kms ! premier à partir !</t>
  </si>
  <si>
    <t>Un peu mieux</t>
  </si>
  <si>
    <t>Correct dans une pente enneigée sous la station</t>
  </si>
  <si>
    <t>Mieux malgrés léger vent de cul, prise de vitesse longue mais réelle.</t>
  </si>
  <si>
    <t>Gain en face sud-ouest à G du déco, pour repasser en face sud puis transition ver Col de Latrape pour thermiques teigneux en face sud-ouest</t>
  </si>
  <si>
    <t>Correct bien que freinage un peu haut pour ne pas être trop long</t>
  </si>
  <si>
    <t>Advance Epsilon 3/26</t>
  </si>
  <si>
    <t>Plat d'Adet, Bon gonflage, recentrage à G + cde, contrôle visuelle moyen</t>
  </si>
  <si>
    <t>Un peu de dynamique au niveau du téléphérique puis avancé vers la vallée pour essais, oreilles + wings, vite trop engagés, tout relaché</t>
  </si>
  <si>
    <t>Oreille d'un coté, RAS; Wings, chaud; 360° bien, facilement maintenues</t>
  </si>
  <si>
    <t>Plat d'Adet, Bon gonflage, contrôle visuelle long, prise de vitesse longue avant prise en charge</t>
  </si>
  <si>
    <t>Face sud sous la crête de la Serre, difficile au début, puis thermqie puissant, quelquefois turbulent, grosse frontale retour avec abatée faible (30°)</t>
  </si>
  <si>
    <t>Fermeture asymétrique G+D, réouverture très rapide assortie de roulis, 360°, maintenu frein intérieur quasi relaché</t>
  </si>
  <si>
    <t>Advance Epsilon 3/28</t>
  </si>
  <si>
    <t>Gourdon</t>
  </si>
  <si>
    <t>Bien jusqu'à ce que…</t>
  </si>
  <si>
    <t>dans un genet, l'aile passe devant et fini posé sur un petit bouquet d'arbres, 1 h de travail</t>
  </si>
  <si>
    <t xml:space="preserve">Résumé Gourdon : A part qu'on eszt entouré par des champions du monde et autre top gun, </t>
  </si>
  <si>
    <t>RAS, dos voile, bon contrôle visuel</t>
  </si>
  <si>
    <t>thermiques jusqu'au plaf puis attéro, Quentin m'attend</t>
  </si>
  <si>
    <t>Fermeture asymétrique maintenue, RAS, 360 G fort, D léger</t>
  </si>
  <si>
    <t>Luchon</t>
  </si>
  <si>
    <t>Superbagnères, léger travers</t>
  </si>
  <si>
    <t>tenu difficlie au dessus des œufs, puis glissade vers le fond de la vallée pour traversée au niveau du verrou, scotchée !!!!</t>
  </si>
  <si>
    <t>Aie, aie, aie, que c'était limite avec cette brise inatendue, arrivée juste à l'entrée du terrain à fond d'accélérateur</t>
  </si>
  <si>
    <t>Superbagnères, travers, dos voile, bien négocié</t>
  </si>
  <si>
    <t>Traversée de la vallée et soaring type rodéoface ouest, fermeture droite d'une demi voile, 2/3 coups de gros roulis mais cap maintenu</t>
  </si>
  <si>
    <t>1ère grosse fermeture, au moins 50%, cap maintenu, gros roulis</t>
  </si>
  <si>
    <t>Dos voile RAS</t>
  </si>
  <si>
    <t>Hautacam</t>
  </si>
  <si>
    <t>Facile tout le long, thermiques généreux, je n'aurait pas du quitter la crête du Pic du Lion, fin de vol limite, la vallée d'Oueil n'est pas fréquentable</t>
  </si>
  <si>
    <t>Malgrés la fin de vol limite, pas trop mal négocié, dans un grand champs bcp d'espace et dans le fil de la pente</t>
  </si>
  <si>
    <t>Grosse, méga fermeture ou frontale, un tour complet avant d'être sortie d'affaire et la cîmes des arbres bcp trop prés</t>
  </si>
  <si>
    <t>Face voile, pas trop catastrophe, au déco de la face ouest de la vallée après être descendu à pied du col de Peyresourde</t>
  </si>
  <si>
    <t>douce glissade pour optimier ma rentrée au terrain</t>
  </si>
  <si>
    <t>Qques Wings pour finir ma descente</t>
  </si>
  <si>
    <t>Sortie déco délicat, puis thermiques généreux et faciles, jamais le plaf (3400 par Pierre), mais suffisant pour faire mon premier vrai cross.</t>
  </si>
  <si>
    <t>vent fort (40 km/h), en marche arrière assez bien négocié mais bcp de difficulté à dégonflé la voile</t>
  </si>
  <si>
    <t>Encore une fermeture d'un bon tiers d'aile, ça commence à bien faire</t>
  </si>
  <si>
    <t>Sous l'altiport, face voile, pas génial, glissade sur la gauche et manque de vitesse après le retournement</t>
  </si>
  <si>
    <t>Bon vol de durée, me suis souvent écarté pour élèves ou pilotes bizarres, globalement en confiance.</t>
  </si>
  <si>
    <t>Font Romeu</t>
  </si>
  <si>
    <t>Les Mourous, vent soutenu, dos voile, recul  bien géré, bon contrôle</t>
  </si>
  <si>
    <t>Thermique, bonne bulle en sortie déco, prise d'altitude au dessus du déco puis descente lente, qques petit thermiques au dessus de la Centrale</t>
  </si>
  <si>
    <t>Plutôt bon avec léger vent en PT8 avec qques bulles. Sur le haut de l'attéro mais bien géré</t>
  </si>
  <si>
    <t>Thermiques comme ça veux bien ce passer</t>
  </si>
  <si>
    <t>Ens, dos voile, début de casquette + glissade dans la pente, bonne reprise, bon contrôle visuel puis prise d'élan</t>
  </si>
  <si>
    <t>Dynamique faible, un bon gain avec essai d'attéro au déco du haut mais trop haut,</t>
  </si>
  <si>
    <t>Pas de vent, trop long, freinage à 2 msol bien maintenu pour éviter la cloture</t>
  </si>
  <si>
    <t>2 x 360 à D engagés léger sortie trop tôt</t>
  </si>
  <si>
    <t>Essai d'attéro au déco manqué car virage après branche arrière trot tôt et vent pas assez de face</t>
  </si>
  <si>
    <t>Arbas</t>
  </si>
  <si>
    <t>Stable</t>
  </si>
  <si>
    <t>Avec Patrick</t>
  </si>
  <si>
    <t>Les Granges</t>
  </si>
  <si>
    <t>Eclaircies, rare au début</t>
  </si>
  <si>
    <t>La Serre de Soulan</t>
  </si>
  <si>
    <t>Vignec FFVL, PT8 correct, freinage trop tot, ressource très importante avec remontée idoine, gaf au vent</t>
  </si>
  <si>
    <t>Ens parking, pas assez de décomposition, bonne tenu de l'aile dans les turbulences de sortie déco</t>
  </si>
  <si>
    <t>Bien tenu dans le dynamique + bulles thermiques. Bonne tenue de la voile malgrés qques loupés en tangage</t>
  </si>
  <si>
    <t>Sailhan, aux grandes oreilles, ouvertures un peu tardive, ça descend vite, il faut y penser</t>
  </si>
  <si>
    <t>FB Hornet</t>
  </si>
  <si>
    <t>Serak</t>
  </si>
  <si>
    <t>Nyons</t>
  </si>
  <si>
    <t>Montlambert</t>
  </si>
  <si>
    <t>Chamoux</t>
  </si>
  <si>
    <t>Montmin, Veyrier, Planfait, Roc des bœufs (première ligne) Bt du lac</t>
  </si>
  <si>
    <t>Gd Bornand</t>
  </si>
  <si>
    <t>Lachat du Chatillon, Arravis, Merdassier, La Cluisaz</t>
  </si>
  <si>
    <t>Planfait</t>
  </si>
  <si>
    <t>Planfait, Roc des boaufs (première ligne) Doussard</t>
  </si>
  <si>
    <t>Mieussy</t>
  </si>
  <si>
    <t>Compet B avec bernard
Pertuisset, Croix de, Rovagne, Hte pointe, Roc d'Enfer, Biot</t>
  </si>
  <si>
    <t>Windtech Sérac</t>
  </si>
  <si>
    <t>Premier thermique difficile à trouver, puis 1er plaf au dessus du déco, j'attends ler groupe du temps de se réhabituer aux éléments, gaz, relief généreux. Après une première tentative avortée, je pars vers la Pte Percée. Début seul assez difficlie, je met du temps à retrouver un vallon qui donne. Rejoint par Gérald, Marc, Ivan, ils vont faire la Pte Percée que je rate d'un thermiqe ma négocié. Début du retour délicat aprés un point bas. Crête aprés crête je me refais et reprends du gain. Je fait 2900 à mon retour au dessus du déco et rejoins à fond d'acc. le groupe, Cervins.... attéro dans la plaine entre Ugine et Faverges.</t>
  </si>
  <si>
    <t>360° avant attéro</t>
  </si>
  <si>
    <t>Col d'Arpetaz 1500m</t>
  </si>
  <si>
    <t xml:space="preserve">ON essaie de raccorcher en face Est, fin des Aravis vers Ugine. Début faible puis meilleur. La brise fini par rentrée, on est sous le vent, on va se poser sans problème dans une bonne brise </t>
  </si>
  <si>
    <t>Montmin 1200m</t>
  </si>
  <si>
    <t>Transition facile jusqu'au Roc des bœufs. Monté besogneuse, 1900 m au dessus du Roc, première fois que j'arrive à passer. Transition vers Chabert, re 1900 puis Julioz ou je rate le bon thermique qui monte Gérald à 1900 et qui part vers le Trélod … ce sera pôur une autre fois. Posé à Compote, soaring sympa quoique un peu turbulent.</t>
  </si>
  <si>
    <t>Vercors Est</t>
  </si>
  <si>
    <t>Gresse en V. 1600m</t>
  </si>
  <si>
    <t>Dévolluy</t>
  </si>
  <si>
    <t>Vol parfait, déco impec, saute mouton de crête en crête, passage par l'Obiou, au niveau du Col Est, superbe, transition final avec Marc, dernier thermique avec un Aigle Royal, posé à l'attéro officile de Courtais le tout filmé….que du bon, mon plus beau vol</t>
  </si>
  <si>
    <t>Courtais 1300 m</t>
  </si>
  <si>
    <t>Thermique puissant et large, cumulus facile à gérer, vol facile, d'abord vers le nord, balise au Chatel puis plein sud par le Gd Ferrand, parois rocheuses impressionnates. Malheureusement, je prends pour écident une brise qui n'est pas dans le sens "prévue". Scotché, je me prends une grosse frontale/asy. Sortie difficile et retour en plaine. Je me refairt à 150m sol, remonte à 1800m et me remet dans un piège, venturi de fond de vallée, je m'en sors limite, attéro correct mais avec seulement 200m devant les arbres .... fatigue, plus d'analyse.</t>
  </si>
  <si>
    <t>Déco Max</t>
  </si>
  <si>
    <t>Entre deux passages orageux, petit vol tranquille, comme quoi ….</t>
  </si>
  <si>
    <t>Vignec en PTU, de toutes manières, il n'y avait de temps que pour ça</t>
  </si>
  <si>
    <t>Taux de chute mini</t>
  </si>
  <si>
    <t>Jean, Yves pour nous ouvrir</t>
  </si>
  <si>
    <t>Soaring dans le dynamique</t>
  </si>
  <si>
    <t>Sailhan, PTS trop longue, après il y a le ligne PTT</t>
  </si>
  <si>
    <t>Ens supérieur, raté 1er déco, arrêt de la course d'élan, l'aile tombe</t>
  </si>
  <si>
    <t>Plouf bien agréable</t>
  </si>
  <si>
    <t>Sailhan, au centre du petit terrain fauché.</t>
  </si>
  <si>
    <t>Ens supérieur, maîtrise de l'aile longue à trouver, déco au bout d'un certain temps, cdes trop brusques</t>
  </si>
  <si>
    <t>Les Vans</t>
  </si>
  <si>
    <t>Saint Ambroix</t>
  </si>
  <si>
    <t>Serre de Barre</t>
  </si>
  <si>
    <t>NE perturbé</t>
  </si>
  <si>
    <t>1er vol avec l'Aspen, bien court</t>
  </si>
  <si>
    <t>Un peu plus de sensation, voile plutot sensible, pas mal d'infos, bouts d'ailes fragiles, pilotable surtout aux commandes, grande précisions dans le virage, inversion à priori rapide et peu engagé, à suivre…</t>
  </si>
  <si>
    <t>Ferm. Frontales, asymétriques, asy maintenue, 1/2 tr coté ouvert, coté fermé</t>
  </si>
  <si>
    <t>Ferm. Asy. Accéléré, Wings, 360° asy.</t>
  </si>
  <si>
    <t>léger NE</t>
  </si>
  <si>
    <t>Dés la sortie du déco, c'est le bon thermique pour 300 m de gain quasi vertical au pylone téléphérique puis transition vers Ens ou je raccroche au dessus du déco après le replat, quelques minutes à chercher comment sortir puis transition vers la droite où je trouve le bon thermique qui me monte au nuage vers 2300. Cap vers le Peigne ou je retrouve sans difficulté une nouvelle pompe pour de nouveau 2200/2300 qui me permettent de transiter jusqu'au dessus du déco des myrtilles. Re thermique facile dans la combe à D du déco pour 2400, mon plaf du jour. Je me décale peu à peu vers l'avant du thermique pour assurer la meilleure transition possible vers Peyragude. J'ai un peu hésité à partir pour la face N du Val d'Aube mais je choisi la sagesse des pentes herbeuses sous le resto d'altitude. Arrivé là, pas grand chose, je me doute qu'il y a de la pompe dans le coin mais impossible à accrocher. Je descend inéxorablement et décide de rentrer à l'attéro de Val Louron. Chance, ma route croise un thermique anémique mais qui a la gentillesse de me remonter suffisemment pour que je me décale au dessus de la station. Pas grand chose jusqu'au moment ou deux rapaces me montrent la route et péniblement je m'extrait de la station pour franchir la crête en direction des Agudes à 2150 environ, au niveau de la saignée que fait le chemin qui relie les deux stations. Bascule et direction Oo. Plus rien ensuite, je passe au dessus du 700 d'Oo où un parapentiste se tape une bonne sieste et je vais me poser dans une grande pente herbeuse à quelques dizaines de mètre de la route pour assurer un stop pas trop dur.C'est la première fois que je réussi à sortir de St Lary. J'y ai commencé mon apprentissage avec Waga à l'automne 97, je révais de franchir ces crêtes et j'ai très modestement réussi ce que d'autres font et refont, n'empêche ce vol restera en moi longtemps comme l'un des plus beau. Merci à Patrick X. (un Toulousain avec une octane blanche) avec qui nous avons fait tout le vol, ce qui nous a permis à coup sûr de s'auto rassurer.</t>
  </si>
  <si>
    <t>Pas de contrôle visuel</t>
  </si>
  <si>
    <t>pour du C.. C'en ai. Arrivé avec Quentin à 15h, je le confie à Patrick Violin et transgresse ma régle de ne pas voler quand je le garde. Mais 5 semaines sans voler, je craque. Juste pour le goût… Déco sans vent, sans problème mais sans contrôle visuel…. Je file plein Est, un petit tour dans du +1 puis direction la face O au dessus du déco et là .... petit à petit je m'extrait de la crête pour finir dans du +3 sympa. Ensuite je vais faire le tour du relais puis retour vers le terrain et bien sûr je retrouve un thermique que je ne peux pas refuser. Ensuite je cherche un endroit ou sa descend, quelques 3.6 et retour sur terre où Quentin ne m'attend pas plus que ça... tant mieux</t>
  </si>
  <si>
    <t>360; Qques Wings léger</t>
  </si>
  <si>
    <t>Deux fois en deux jours, re sortie de la vallée pour Val Louron, mais cette fois après un apre combat en fond de vallée. Pas la même qu'hier et oh combien plus sportif et … moins agréable</t>
  </si>
  <si>
    <t>6".5</t>
  </si>
  <si>
    <t>Flux de SE (20 kmh à 3000)+ brise</t>
  </si>
  <si>
    <t>Samedi, temps pourri, quelques gonflages dans un pré humide, un vol de ... 30, 40 secondes avec Vincent à Gensac, voile trempée ...
Dimanche, premier cross de l'année, avec un thermique odorant au passage, quel contraste !
J'en jubile encore et au travers de ce message, c'est l'occasion de vivre encore un peu ces instants supers.
Tout à commencer dimanche par un coup de fil salvateur à Patrick, RdV qui va bien et on part avec Etienne Le Chêne et bien sûr Pascale et
Pierre (le fils de ...)
Premier déco à 11h30 de Superbagnères, normalement pour un plouf, je m'installe coté nord, erreur que Dominique me fait corriger en me
faisant installer devant lui coté sud (merci Domi). Et voilà que Patrick qui a décollé avant Pat et moi nous montre la voie du premier
thermique de l'année ... et oui depuis le 01/01 (en fait depuis Castejon en nov dernier), 4 ploufs au compteurs + 2 bi, pas de quoi
fouetter un chat.
Première fois aussi que je réussi à passer au dessus du déco à Luchon, 150m environ, c'est chouette la station vu du dessus, même si c'est un peu décalé vers le sud. Patrick tente deux fois d'accrocher les faces sud au dessus de la vallée du Lys, il ne trouve rien, je transite vers la vallée du col du Portillon, nada, nous rentrons tous (Dominique, et le reste de la nombreuse troupe) à l'attéro.
Deuxième déco, totalement impatient de voler, je n'attends pas, préparation coté nord, petite bouff de face, déco pour transiter vers Herran, deux / trois tours dans un thermique faiblard et retour à l'Attéro.
Pour mon troisième, à la remontée avec les oeufs, je vois un planneur en face sud du Poujastou qui doit enrouler au dessus du Val d'Arran, puis deux voiles dont Domi qui enroulent du tout petit le long des oeufs et enfin la nouvelle voile spécial camouflage de Patrick qui transite vers Herran. Ah au fait, si vous pouvez, contrairement à Patrick (mais il n'a pas eu le choix) , évitez le blanc ou le bleu, c'est difficile à répérer. N'empêche, Le Patrick, maintenant considéré comme local à Luchon, montre la voie, Herran. Préparation rapide en face nord, Michel rate un déco en s'enfonçant profondément dans la neige (du plus bel effet) ce qui m'incite à un déco énergique.
Donc, transition impec vers Herran, entre temps, Patrick a raccroché la deuxième crête après la combe dite de la "machine à laver", y'a
plus qu'à.... J'ai du C..., je prends le bon thermique qui me permet de transiter au dessus de la Machine à laver et de raccrocher directement dans le thermique. Musclé le thermique, il me monte de 1400 à 1900 avec assez régulièrement du +3. Tellement musclé que pour moi, jeune pilote (et non pas pilote jeune), et de plus sans beaucoup de pratique ces derniers temps, je prends un bon tiers d'aile (comme d'hab à droite, logique j'enroule plutôt à G), que je surcontre, aie, aie, aie, en voila une connerie, une vrai.... mais .... ouf, elle ne décroche pas
et se remet à voler. Trois minutes aprés j'en reprends une belle (de fermeture) mais cette fois, je ne m'interresse qu'au cap, je la laisse
reprendre de la vitesse et c'est beaucoup mieux. N'empêche, ces premiers thermiques dans des conditions de Sud-Est avec de la brise en
vallée .... pas glopp.
Jusqu'à trouver mon fameux thermique à l'odeur alléchante. En effet, poussé par le sud, je prends la direction du Nord, (pas bête hein le
parapentiste ?) en gros vers St Béat par les faces Ouest de la vallée de Luchon, quand à la hauteur du Montmajou, je respire une odeur de
feu de feuilles vraiment très agréable .... passent quelques secondes pendant lesquelles je trouve que la vie à du bon et  .... enfin mon
esprit embrumé réagit : "si ça sent la fumée, il y a un feu quelque part ...." euh non, "si ça sent la fumée, c'est qu'elle monte" ... demi tour, d'où viens-ce ? ce village ? non tout simplement un bon vieux feu de feuille qu'un local fait bruler plus bas. De là facile, je me cale entre le feu, la fumée et l'odeur, suffit de suivre le guide. Du coup, j'ai garder l'odeur magique jusqu'à 2200 ou presque, puis je
me suis laissé glisser dans la vallée en visant la national pour être récupéré facilement... par Patrick, qui décidemment m'a été
indispensable tout au long de la journée.</t>
  </si>
  <si>
    <t>NO pluvieux</t>
  </si>
  <si>
    <t>1 minute, même pas sûr …. Juste de quoi mouiller la voile.</t>
  </si>
  <si>
    <t>Avec Florence</t>
  </si>
  <si>
    <t>Bon thermique pris devant le déco du 700, je transite vers Mont ou après mazégage, je finis par abandonner</t>
  </si>
  <si>
    <t>Douelle</t>
  </si>
  <si>
    <t>Moustiers</t>
  </si>
  <si>
    <t>Philippe Bernat</t>
  </si>
  <si>
    <t>Gilles</t>
  </si>
  <si>
    <t>Estelle</t>
  </si>
  <si>
    <t>Déco de vénascle, MtDenier, Aiguines,attéro plage</t>
  </si>
  <si>
    <t>NO 30kmh</t>
  </si>
  <si>
    <t>Luchon - Oo</t>
  </si>
  <si>
    <t>Luchon - Montmajou - Luchon</t>
  </si>
  <si>
    <t>St Pons</t>
  </si>
  <si>
    <t>Essai sellette</t>
  </si>
  <si>
    <t>Gros voile de cirus</t>
  </si>
  <si>
    <t>Photos de Vincent et Philippe</t>
  </si>
  <si>
    <t>Traversée vers herran pour qques bulles</t>
  </si>
  <si>
    <t>Premier raté, certainement à cause de la pression de devoir faire vite, je n'étais pas prépapré</t>
  </si>
  <si>
    <t>Pas réussi à accrocher à Bourrus, vite remontée avec Ivan</t>
  </si>
  <si>
    <t>Décentré, sans contrôle, pas fameux du tout…</t>
  </si>
  <si>
    <t>Après avoir vainement gratté devant le déco, j'arrive bas à Bourrus, heudreusement cette fois, j'arrive à me refaire. Alors que la plupart bascule sur Herran, je gratte vers Pène Blanche, bien m'en prend, je monte vers 1200. Vers Herran, je m'en sors assez bien et en qques minutes, je suis au plaf, je fais un essai vers la crête de la Husse, en vain, je tente alors un retour vers Pène blanque que j'arrête rapîdement, trop bas. Retour dans le thermique et je repars vers Penne Blanque à 1250. Ca suffit pour passer avec une trentaine de mètres au dessus du col de Pène Blanque. Je ne trouve pas grand chose, du coup je redescend petit à petit vers Bourrus ou je fais de nouveau le plaf. Transition vers la Pompe à Cham, pour un bon 1200. Transition au dessus de Goufaron où je ne trouve pas grand chose. Du coup je reviens vers la Pompe à Cham, qui en me laissant décalé m'amène à la crête de PIscatel. En copagnie de Pierre, nous allons à Herbe Blanche et retour. Un régal, tout doux, bcp d'harmonie. De retour à Piscatel, je suis la crête vers le Planot mais je m'arrête vite. Retour vers la Pompe à CHam mais qui vient de passer à l'ombre. Je gagen  un peu et file vers le relais où je retrouve un bon thermique qui me remonte vers 1000m. Retour à l'attéro 10m cible.</t>
  </si>
  <si>
    <t>Durée moy / vol</t>
  </si>
  <si>
    <t>Dist moy par cross</t>
  </si>
  <si>
    <t>Anticyclone</t>
  </si>
  <si>
    <t>St Antonin</t>
  </si>
  <si>
    <t>Léger sud</t>
  </si>
  <si>
    <t>Premier thermique à Techous, puis essai infructueux au Cap de Pouy</t>
  </si>
  <si>
    <t>Premier thermique à Techous, puis essai infructueux à Herran</t>
  </si>
  <si>
    <t>Direct Herran, un thermique à la première crête, rien à la deuxième, retour dans une aérologie bizarre</t>
  </si>
  <si>
    <t>+1000 m, puis petit cross pour poser à coté de Caylus</t>
  </si>
  <si>
    <t>SO en altitude, brises en surface</t>
  </si>
  <si>
    <t>Antoine et Jean-Marc, qui ont décollés juste avant moi réussise à sortir, je fais une fléchette …</t>
  </si>
  <si>
    <t>2ième chance, c'est la bonne, Jean-Jacques Livinec me montre la voie au début du vol, la sortie devant le déco n'est pas facile. Après un petit gain, je transite vers Pène Blanque où je trouve un bon thermique qui me monte vers 1800m. Il me dérive vers le sud, du coup je vais en direction de Pène nère au dessus des faces sud du Col de la Husse. Je trouve un très puissant thermique, étroit, qui m'éjecte regulièrement mais qui m'emmène à un bon 1900. Plein est, je vise et atteint la Pompe à Cham. Pas très attentif, je me prend une petite frontale, ça fait des lustres que ça ne m'étais pas arrivé, ça fait tout drole.... La pompe à Cham est sympa, elle m'emmène vers 1900, en dérivant vers le sud en direction de Piscatel. Du coup, je continu vers l'est en direction d'Herbe Blanche (non, non ce n'est pas une nouvelle variété ...). Ca fait 4/5 fois que je viens dans ce secteur et jusqu'à maintenant je n'avais pas compris par où sortir. Cette fois, bingo, je trouve le bon thermique, qui lui aussi décalle vers le sud. Peu à peu je suis vertical crête et je vois 2 planeurs qui montent bien, au dessus de l'Estélas. Du coup, je sors du bocal d'Arbas en direction de Moulis. J'ai du mal, mais je finis pas trouver le thermique des planeurs qui me monte à 2080m, plaf du jour pour moi. Mais là, je ne suis plus du tout dans la même aérologie. Je suppose que je suis dans le cisaillement entre brises de vallée orientées en Nord et le météo très nettement SO. Et le SO dans les Pyrénées, c'est connu ... c'est turbulent. Comme l'heure tourne, que mon estomac aussi dans ces conditions turbulentes, je fais demi tour et reviens vers Arbas. Pendant un bon bout de temps, j'avance en direction du NO, pas vite, sans perdre d'altitude et méchamment bougé. Je me doute bien que ça va  finir par se calmer, ce qui arrive quand je redescends en basse couche. Je pars le plus loin possible vers la plaine pour agrandir ma boucle, puis retour vers l'attéro, en phase avec le timing pour retrouver ma compagne et rentrer dans les temps à Toulouse pour récupérer le Lucas .....</t>
  </si>
  <si>
    <t xml:space="preserve">SO en altitude, Est en basses couches, brises en vallée, </t>
  </si>
  <si>
    <t xml:space="preserve">Superbagnères, Montious (Pic du Lion), Antenac, Cierp/Marignac, Montmajou, Cagire, Col de la Husse ratée d'un centaine de mètres, posé catastrophe vers le col d'Arrieu. </t>
  </si>
  <si>
    <t>léger nord</t>
  </si>
  <si>
    <t>Triangle FAI Arbizon / Lustou / Pic du Lion</t>
  </si>
  <si>
    <t>Anticyclonique, No puis O en altitude</t>
  </si>
  <si>
    <t>Décollage vers 9h du coté du Céciré à 2350 m environ. Monté en 1h40 depuis Superbagnères</t>
  </si>
  <si>
    <t>Wings, 360 … ça commence à revenir ….</t>
  </si>
  <si>
    <t>Nervures Alpamayo</t>
  </si>
  <si>
    <t>1er bi de David</t>
  </si>
  <si>
    <t>Bionic 2</t>
  </si>
  <si>
    <t>Roquefort</t>
  </si>
  <si>
    <t>Flux d'ouest</t>
  </si>
  <si>
    <t>Anticyclonique avec flux d'ouest</t>
  </si>
  <si>
    <t>Conditions météo très bizarre, une épais voile nuageux et pourtant des thermiques puissants mais avec un plafond bas, 2000 au dessus du déco 700, 2200 au dessus de la station de Val Louron où les thermiques étaient forts et très désorganisés. Avec Patrick Bournissou et Marc Fourré, on traverse sans trop de difficulté la vallée pour aller se refaire en dessous de l'altiport, mais là impossible de prendre plus de 1700. Après 3 tentatives, je vais me poser aprs qques 360...</t>
  </si>
  <si>
    <t>De beaux cums,mais pas assez de brise.</t>
  </si>
  <si>
    <t>Flux de NE</t>
  </si>
  <si>
    <t>Flux de SO en PM</t>
  </si>
  <si>
    <t>Le triangle classique, Planot, Pène Nère, Herbe blanche, Relais</t>
  </si>
  <si>
    <t xml:space="preserve">Un peu à la bourre entre boulot, famille et parapente ce petit mail pour vous raconter le joli vol d'hier. Arrivé à Luchon vers 9h, le stop m'amène vers 10h30 à Super. Les premiers pilotes qui décollent n'arrivent pas à sortir, alors j'attends ... j'attends en faite jusqu'aux environs de 13h00 avec l'arrivée de Marc Boyer et de 4 compétiteurs venus en avance pour la compete de ce WE. Ils décolent vers 13h30 et je fini par décoller vers 14h.
Toujours rien devant le déco alors je file vers Herran où j'arrive bas. Les comp'Men me suivent de près. Après une bonne demi heure nous sommes au dessus du Poujastou. Là, bizarrement, Marc file vers le Montmajou, je persite et trouve le thermique des faces sud qui me monte à 3100. Les comp'men ont suivis Marc. Je transite vers le "Chandelier" et profite de la transition au dessus du Val d'Aran pour changer les piles du GPS. Celles du vario ne sont pas beaucoup plus en forme, mais elles tiendront, tant mieux, sans vario je suis pommé. Au Chandellier (Montludo de son vrai nom ?), je prends, après une mauvaise option, LE Thermique du jour qui m'emmène à un peu plus de 3300 ... magique.
J'abandonne l'option Andorre qui est trop impressionnante pour moi en solo, et puis les gros cums sur la crête frontières m'en dissuadent.
Après c'est une histoire de 3 ascendances de plus en plus anémiques qui m'emmènent à Arbas, quasiment en ligne droite. Un point particulier à réutiliser ? Sur la face sud de Cornudère, nous avons retrouvé une ascendance qui serait d'après les Arbasiens, une confluence entre la brise venant d'Aspet et du Sud-Est ou quelque chose comme ça. Bref, quasiment à la vertical du col de Portet d'Aspet, on a rencontré un truc sympa qui nous à permis de basculer facilement au dessus de Cornudère.
Je dis nous, car du coté du Cap de Gauch, j'ai retrouvé l'un des comp'men, Olivier, le même qui a fait 125 kms avec Pierre Costes mercredi... s'est pas déplacé pour rien de Paris celui là...
Un grand merci à Fred Schembri qui nous a ramené à Luchon .... vraiment sympa.
Dés que j'ai du temps, je mets la trace GPS à la CFD et dans les fichiers de la liste...
</t>
  </si>
  <si>
    <t>c'est jamais pareil, impossible de sortir du plaf, après avoir lutter leplus possible, le plafond retsant despéremment bas, autant aller seposer et rentrer … ça sent la fin de saison, l'Aspen n'en peu plus, elle tourne, elle tourne toujours à droite, ras le bol.</t>
  </si>
  <si>
    <t>Qques tours dans ds bulles souvent puissantes avant que les cums ne deviennent trop menaçants. Je rend l'Aspen à Vincent, plus qu'à espérer qu'il trouve une solution.</t>
  </si>
  <si>
    <t>Anticyclonique en flux d'Est</t>
  </si>
  <si>
    <t>Reprise après l'hiver, nous sommes un gros paquet, la liste Vol-Libre-Pyrénées a bien fonctionné…. Je décolle en premier, pas la peine de finasser, mes chances de tenir sont minces. Poirtant je vais rester une heure à me faire secouer la couenne, à jouer dans le thermique sous le vent de la crête, sous le déco du Tuc de Pan. Il est temps d'aller poser, j'en peux plus, il me faudra une petite 1/2 heure pour me remettre .... pfeuuuu</t>
  </si>
  <si>
    <t>retour d'un rdV client, monter à pied, c'est vraiment faible alors que la météo annoncait 20 à 30 …. A qui se fier !</t>
  </si>
  <si>
    <t>Mériter celui là, après un WE famille, j'ai posé mon lundi, prévu depuis vendredi et la météo est Ok. Thermique devant le déco du Planaute, montée à 1400 environ, transition directe vers Herran, assez rapidement je sors au dessus de la Husse, mais Richard Penne qui est déjà parti vers le Cagire est à la peine. Quand il arrive enfin à s'extraire, je tente ma chance. Mais parti de 1850 environ, le début de la transition est mauvais, je tente de me refair au dessus du  ralais du Picon mais pour rien et j'arrive trop bas pour reprendre. je me pose tranquille à voté de sengouanet, retour à pied jusqu'à Aspet, puis Flo vient nous chercher. Belle, belle journée !</t>
  </si>
  <si>
    <t>Triangle FAI Val Louron</t>
  </si>
  <si>
    <t xml:space="preserve">Triangle FAI </t>
  </si>
  <si>
    <t>Anticyclonique + NE</t>
  </si>
  <si>
    <t>Dausse</t>
  </si>
  <si>
    <t>Un bon thermique mais beaucoup de vent. Attéro bien raté, une bulle dans la final, je pars à droite pour ne pas être trop long, petite ferneture et retour sol quasi vertical .. Pas bon.</t>
  </si>
  <si>
    <t>Décollé vers 10h30 pour un plouf; je trouve de quoi passer au dessus du déco, puis sur Bourrus de quoi tenir au point de repasser au dessus de Pène Blanque, et à Herran de quoi remonter juqu'à hauteur de la Husse. Peu à peu les thermiques un peu "bousculeux" ont eu raison de mon estomac un peu malmené par l'armagnac de la veille, du coup, l'estomac au bord des lèvres je reviens vers Bourrus pour aller poser, mais à 1h52 de vol, je me suis dit qu'ilo fallait au moins attendre 8' et du coup j'ai gratté à Bourrus et c'est là que Guillaume s'est mis dans un arbre. Du coup, posé et désarbrissage avec Rodolphe , Yoyo et ??? Pas grave j'en pouvais plus .....</t>
  </si>
  <si>
    <t>Flux d'Ouest, entre 2 dépressions</t>
  </si>
  <si>
    <t>Flux d'ouest léger</t>
  </si>
  <si>
    <t>Décollé à 10h30, comme un mois auparavant, ça tient, peu devant le déco, mais plutot bien à Bourrus, puis Pène Blanque et Péne Nère. Le plafond est bas, 1300 m environ, et le ciel se referme du coté du déco. Du coup je reste le plus au nord possible, coté plaine, pour rester au soleil. Poussé par un peu d'ouest, je vais au Relais où il y a un beau cum. Un vol de corbeaux monte alègrement. Je trouve le thermique sans aller jusqu'à eux, ils montaient donc sous le vent du thermique, ça monte assez fort, +3 / +4 jusqu'au moment où la moitié droite de la voile s'écroule, sans prévenir. Je pense que je suis sorti du thermique coté sous le vent (voir imprim écran trace GPS). Je ne pense pas être sous le vent du relais, pas à 11h45 et pas à cette hauteur, mais j'ai souvent pris de bonnes "secousses" dans cette zone. La fermeture m'emmène à droite (donc sous le vent, zone certainement peu saine), je laisse voler en contrant à gauche, la voile réouvre, elle a un drôle d'aspect, on dirait qu'elle fassaye dans le vent. Pas longtemps, elle part en abbattée, je ne la freine pas ou pas assez vite, elle ferme dans une espèce de frontale asymétrique. Je vois un bon 2/3 de voile droit plaqué contre les suspentes. Elle part en autorot immédiatement, cette fois je réagis correctement, je la contre à la commande à gauche assez fort, dans le même temps je me retrouve avec un demi tour de twist. Je me souviens mettre dit qu'il fallait d'abord stopper l'autorot avant de me détwister, ce que j'ai réussis à faire. La voile se réouvre (apèrs 1/2 à 1 tour ??) pendant que je me détwiste, cette fois je contrôle à peu près la sortie, ça revole ... ouf, j'ai le coeur qui bat la chamade et un gros coup de frayeur, le secours n'était pas loin. La morale de l'histoire, pour ne pas surpiloter je laisse ma voile reprendre beaucoup trop de vitesse à la 1ere réouverture et l'Aspen accélère très fort dans ces situations, le réglage de commandes sortie révision et conforme à la norme Gradient est assez long (+ 2 ou 3 cm par rapport à l'année dernière). Il m'a permis de retrouver un peu de vitesse, mais les débattements sont longs, ils m'ont peut-être un peu géné et puis surtout, les réactions d'une voile dhv 2, c'est rapide, y'a pas à y revenir .... Je perds une cinquantaine de mètres d'après la trace GPS, je n'aurais jété le secours qu'au mieux  2 ou 3 secondes plus tard + 2 secondes d'ouverture, donc de nouveau une cinquantaine de mètre, si je n'avais pas été en sécurité (environ 500 m/sol) il aurait fallu faire secours dés le début de l'autorot, pas sûr du tout que j'aurai eu le temps de le faire .... Re Ouf
PS : à propos de la longueur des commandes, je les avais allongé d'au moins 5 cm quand j'ai eu la voile, ça veut dire qu'ils avaient été raccourcis de 6 à 8 cm par le précédent pilote (voile de démo).</t>
  </si>
  <si>
    <t>Anticyclonique en flux de No modéré</t>
  </si>
  <si>
    <t>Triangle FAI. Malgrés le vent encore sensible de N-NO, qui a rendi le vol assez turbulent, c'est un très beau vol, avec passage au col de Larrieu, à herbe blanche, à Barrat et retour. Le passeg en A/R le long de la crête de Cornudère a été un grand moment de plaisir, unespèce de soaring géant.... Beau, beau vol !</t>
  </si>
  <si>
    <t>Arbas - St Bertrand de Comminges</t>
  </si>
  <si>
    <t>Arbas - Pic cde Gar _ Sengouanet</t>
  </si>
  <si>
    <t>Gonflage + vol</t>
  </si>
  <si>
    <t>O-NO 15 - 20</t>
  </si>
  <si>
    <t>Advance Sigma 7 28</t>
  </si>
  <si>
    <t>Anticyclonique léger NE</t>
  </si>
  <si>
    <t>Anticyclonique léger NO</t>
  </si>
  <si>
    <t>Essai Sigma 7</t>
  </si>
  <si>
    <t>ITV Jedi 2 - M</t>
  </si>
  <si>
    <t>Après 4 jours de pluis à Arbas, je monte à pied au Planot pou un plouf</t>
  </si>
  <si>
    <t>Monté avec l'école pour un plouf, les conditions sont là très tot et ça tient bien malgré des étalements</t>
  </si>
  <si>
    <t>2d vol de l journée, je prends une option trop ambitieuse en pensant ressortir du relais, mais ça ne marche pas.</t>
  </si>
  <si>
    <t>2d essai de la Jedi 2, cette fois à ma taille, je n'aime pas les commandes trop physiques et des coups en roulis désagréable</t>
  </si>
  <si>
    <t>Retour sour la nevada 2, décidemment bonne voile avec une sacré vitesse, manquant peut-être un peu en themique avec un tau de chutre un peu fort ? Essai de fermeture asymétrique, il faut s'en occuper sinon elle part assez vite en autorot ûis vrai grosse fermetrure suite à sortioe/en,trée dans une fort thermique, pas facile à arréter....</t>
  </si>
  <si>
    <t>Nevada 2 - 24</t>
  </si>
  <si>
    <t xml:space="preserve">J'écris ce CR après achat, c'est donc encore un peu plus subjectif. 7 heures d'essai + 2 heures de gonflage. C'est l'une des moins ambitieuse des voiles que j'envisageai, du coup complètement dans mon cahier des charges, EN B,
Allongement à plat 5,75 / Allongement projeté 4,14 / Longueur cône suspentage 7 m / Metrage suspentes 214 m / 56 cellules / Suspentage en 2 / 3 / 2. Poids 3,9 kg en light, ce sont donc des caractériqtiques très proche de la Golden, l'allongement projeté est même inférieure. Le supsentage est minimaliste, mais idéale en terme de gainage pour les parties basses. Elélvateurs très facile à manier, par contre les poignées sont trop raide en gants fins, il faudra que j'ajoute une poignée type pilotage. La longueur totale de suspentes des super étonnantes, certainement la plus basse dans cette catégorie. A noter la simplicité globale de la voile, des joncs très fins, ce qui fait que je la plie à l'ancienne, pas de prise de tête excessif.
Le gonflage est délicat, si on ne l'a met pas sufisamment en corole, elle gonfle par les bouts d'aile. c'est du aux 2 suspentes reliées au même maillon d'élélvateur. Face voile, il vaut mieux prendre les 2 suspents centrales au dessus du maillon. Ensuite elle monte doucement et semble marquer un point d'arret 10/20° avant d'arriver en haut. Certainement des atouts par vent fort, je n'ai pas pu tester, mais une réelle attention par vent faible ou nul. Je l'ai quand même décoller par très léger vent de cul au PLanot, et tout c'est bien passé. En vol, 2 caractéristiques majeurs : La 1ere, elle va vite, au feeling la plus rapide de toutes celle essayé, et accéléré c'est encore plus impressionnant. J'ai lu au GPS des vitesses que je n'avais jamais vu en air calme. La 2d, elle tourne dans un mouchoir de poche avec très peu d'effort aux commandes. Inversion de virage hyper facile, une grande joueuse. Par contre en haut de fourchette comme je suis, le tau de chute est certainement un peu plus important que d'autres voiles, faudra se battre en petites conditions. Les oreilles sont parfaites, accélérés on est vite à -3, -4 m/s. Excellent. Par contre y'a que 2 suspentes sur chacun des élévateurs en A, B et C + une de stabilo sur C, du coup aux oreilles, ben y'a plus que 2 suspentes en A.... J'ai essayé 2 fernture asymétrique avec un élévateur complet, ça part vite et le contre est sensible à la  commande, il faudra le travailler pour ne pas surpiloter le jour venu. En fait j'ai pris une belle grosse fermeture asymétrique lors de l'un des vols, j'ai été vraiment limite et rès près du sur pilotage. Mais bon, c'est une EN B, je suppose qu'ele le mérite. J'ai fait plusieurs approches d'attéro en basses vitesses, elle a l'air très tolérente, elle reprend vite de la vitesse en remontant les mains. Le prix a aussi été un facteur d'achat, 400 euros de moins que la Diamir2 en prix publique, ça compte.  </t>
  </si>
  <si>
    <t>Essai Nervures Diamir 2, En C, taille S (PTV 70-90),
Allongement à plat 6,1 / Allongement projeté 4,74 / Longueur cône suspentage 6,9 m / Metrage suspentes 271 m / 63 cellules / Suspentage en 2+1 / 4 / 3. Poids 4,5 kg, Les caractéristiques techniques sont pour moi au vert, je suis étonné de la longueur totale de suspentes ... sauf le prix.
Le 23/04, gros vol de 75 kms A/R Arbas-Sacon. Manquant terriblement de référence, je dirai que la voile est parfaite sauf les élévateurs/poignées de freins qui ne me conviennent pas du tout et les oreilles qui battent beaucoup et s'ouvrent difficilement. Le gonflage est facile, confirmé par Thierry Damian qui a bcp plus d'expérience que moi. On sent bien que ça plane et que ça avance, un peu mieux légèrement accéléré, et qu'elle est utilisable à fond d'accélérateur. L'effort aux commandes est plus élevé que sur la Golden, mais peut-être faudrait-il la laisser plus voler en thermique avec plus d'appui sellette ? Tjrs T Damian dit que c'est équivalent à la delta 2. Mais là j'avais la ventrale plutot serré, je sentais bien que je n'avais quasiment pas d'efficacité sellette. Peut-être aussi que je la charge trop ? L'utilisation de l'accélérateur est dans la limite haute pour l'effort demandé.
Les + comme ça viteuf : La légèreté, les suspentes gainées en parties basses, l'utilisation de l'accélérateur, à priori la gestion des incidents, j'ai pris une grosse aymétrique accéléré à fond, j'ai à peine eu le temps de réagir en lachant l'accélérateur qu'elle avait fait un quart de tour coté fermé et qu'elle été déjà réouverte et quelques bouts d'ailes insignifiants. idem pour des dégonflages/regonflage instantannée du BA.
Par contre elle est chère ! A réessayer après d'autres essais ?
Et ben justement 2d essai le 18/07, avec 2 vols. Au premier grosse connerie de ma part au déco, je la laisse me dépasser et elle ferme, je suis à 2 doigts du crash. Du coup je passe la suite du vol à me calmer dans des petits thermique du coté de Bourrus. Elle troune bien, mais moins que l'Apolo ou la Nevada et ses commandes demandent plus d'effort, ça confirme bien mon 1er ressenti. En fait je suis presque sûr que c'est une machine à cross, facile, peu de mouvement parasites sauf peut-e^tre des petits coup de "raquettes" en roulis. Le 2d vols m'a juste servi à décoller sans vent, voir cul d'ailleur, en m'appliquant pour remonter mon moral. Chose faite. J'ai enchainé qques essais dont des petits wings en freinant des 2 cotés, je pense que je finirai par y arriver. Cette voile est vraiment super, mais j'achète la Nevada2, plus facile à piloter, moins physique et moins cher !!!</t>
  </si>
  <si>
    <t>Plaine Garone</t>
  </si>
  <si>
    <t>Vent un travers Ouest. Quelques gonflages au déco, mauvais attéro, pas de prise en compte du gradient, décrochage à 2m sol</t>
  </si>
  <si>
    <t>Re auvais attéro, je rentre trop haut, du coup je me retrouve à faire des S sur le terrain et je décide finalement d'aller poser dans le champs de l'autre coté de la route.</t>
  </si>
  <si>
    <t>St Jean Montclar</t>
  </si>
  <si>
    <t>Flux d'ouest en altitude</t>
  </si>
  <si>
    <t>Je prends le télésiège de la station dans les premiers et je monte avec un local sur la crête de Dormillouse. De la neige à partir de 2000m environ; incroyable… pour moi. On est dans son jardin (Pascal de Dignes, gardien de prison !!!) et il m'emmène jusqu'à son déco, sur la crête un peu au sud de l'arrivée du télésiège de la brêche. C'est déjà pas mal alimenté, et après un casse croute rapide, je lui dit que je vais me mettre en l'air. En fait, il me précède, en ayant eu soin de m'expliquer qu'il vaut mieux décoller du pierrier sous la crête. Seul je n'aurais pas osé et pourtan c'est plutot serein... enfin, c'est de la montagne, un brin engagé quand même. Ensuite c'est 1h30 de d'intenses émotiones au mileu d'un décor très très minéral, à donner des frissons dans le dos et pourtant y'en a pas besoin, car il fait froid. Après un petut tour du coté du fort de Dormillouse, j'enfile la crête vers le Sud. C'est peu de dire que je ne suis pas serien du tout. J'y vais sur la pointe du stabilo, près à tout à tout instant. Mais pas de frayeur, même si l'aérologie n'est pas géniale. Après qques kms sur la crête, bien assez satisafit de moi, je décide du retour. Je crois Pascal a qui je dis que j'ai vraiment très froid, lui pareil et je prends dir plein Ouest vers la "Plaine" car il y a de gros cumulus. mais ça ne le fait pas et je me pose frigorifié à Montclar. Quel vol !!!!</t>
  </si>
  <si>
    <t>Après un repas officiel au resto du coin j'y retourne, ce serait trop bête de ne pas en profiter. Cette fois, je décolle sous le télésiège à 1900m environ. Mais tout est à l'ombre et il va falloir jouer serré pour réussir à tenir. J'y arrive et refais la crête à 2200 m. mais en m'aventurant le long de la crête vers le sud, je reperds tout. Je retourve un second thermique à la désespéré que je tiens cette fois jusqu'à 2600. Du coup, comme j'ai décalé vers le Nord de Dormillouse, je transir vers le Sud, je passe devant le fort, puis le déco du matin. Je finis pas fair demi tour en pensant que je rentre encore à l'attéro officiel, c'est vrai, mais j'aurai besoin de tout ....Quelle journée et quel froid !</t>
  </si>
  <si>
    <t>Val Pelouse</t>
  </si>
  <si>
    <t>St Hilaire du Touvet</t>
  </si>
  <si>
    <t>Vol de long de la falaise avec beaucoup de monde et pas mal de trubulences</t>
  </si>
  <si>
    <t>Dernier vol avant la Coupe Icare et devenir spactateur.</t>
  </si>
  <si>
    <t>Le Site de Vincent Busquet, il habite La Rochette ou il y a l'attéro fooficiel. C'est lui qui nous fait découvrir le site et qui me fait la rot. J'attends 1h30 dans le nuage qui finaklement s'ouvre pour un vol écourté car les condictions sontr trop pour moi, gros varios, remief, vent, planeur etc ...</t>
  </si>
  <si>
    <t>Bi Béta 3</t>
  </si>
  <si>
    <t>Mourre Nègre</t>
  </si>
  <si>
    <t>Cabrières d'Aigues</t>
  </si>
  <si>
    <t>Ca fait du bien de passer du temps dans le bocal à jouer dans des thermiques et un paysage à ma taille…</t>
  </si>
  <si>
    <t xml:space="preserve">er essai de la sellette et du sac Kortel, c'est un autre monde que de monter en light, à peine l'impression d'avoir un truc génant sur le dos. Par coontre que de chasseurs. </t>
  </si>
  <si>
    <t>Avec Louis, après un abandon à Cornudère pour cause de vent d'ouet matiné de brise de sud, nous décollons du planot. Le vbi est lourd et long à monter, les commandes sont très hautes, il "plombe" bcvp, bref c'est pas top. Attérro trop court comme d'hab.</t>
  </si>
  <si>
    <t>El Yelmo</t>
  </si>
  <si>
    <t>Algodonales</t>
  </si>
  <si>
    <t>Cortijos Nuevos</t>
  </si>
  <si>
    <t>Grace à des locaux (bien peu nobmreux) dont un prof de techno d'Albacete parlant pluto bien le Français, je peux voler à Elm Yelmo. Ils me montent au déco et me donne même un coup de main car les conditions sont musclés avec des passages assez forts. Le site est grandiose, dommage qu'il y ait du vent météo qui me scotche au relief. Mais je fais 2/3 A/R devant le déco avec 3/400 m de gain, puis une belle avancée plein Ouest au dessus de Cortijos Nuevos. J'aurai bien remis ça le lendemain, mais le vent d'Est est vraiment trop fort.</t>
  </si>
  <si>
    <t>Cette fois, c'est un Français, Jean-Michel de Samoens qui me fait découvrir le site, à commencer par le CIVA, bien pratique pour le CC et pour les navettes qui sont interminables. Au déco, c'est du grand n'importe quoi, avec peut-être une centaine de pilote dont 4/5 ony bien du mal à décoller, gag supplémen taire, la plupart en école. Du temps de papoter et de ma préparer avant le déco il y a quand même eu 4 voiles dans les kékés environnant. Super simple de sortir, ça monte partout. Du temps de prendre des photos, d'aller plein est rejoindre la grappe de parapentistes ou de vautours suivant les cas, ça fait un beau vol de découverte. Le cross semble plus abordable qu'à El Yelmo, on est en plaine avec de bones routes dans tous les sens.</t>
  </si>
  <si>
    <t>Golden 4 24 puis Névada 2 light</t>
  </si>
  <si>
    <t>Montée à pied avec matos léger depuis l'attérro jusqu'à Cornudère en 2h45 pauses comprises. Pas la grande forme mais suffisante pour pas trop souffrir. Au sommet 1h pour manger et surtout s'habiller puis s'équiper. Pas évident avec le vent pourtant pas très fort et le froid. J'ai chaussette de ski montante, pantalon doublé, guètres, sur pantalon imper de ski et en haut 2 teeshirt, une poalire et la doudoune. Gants léger + mouffle que je passerai en vol. Je n'ai eu froid qu'en haut des cuisses et aux fesses. Décollage coté nord, mais avec de l'ouest assez marqué. Qques bons thermiques (Pène blanque/Mountagnat), mais avec des cisaillemlents à leurs sommets. J'intterompt le vol, cae la fatigue se fait sentir avec depuis le début du vol, des crampes à l'intérieur des cuisses. probablement fatigue + inconfort sellette. Je suis bien content de ce vol rando, ça me fait un premier contact avec la neige et le froid et un test avec la sellette Kortel. Il faut que j'améliore la fixation de la radio, du vario et que je prévois quelque chose pour la balise de secours et un appareil photo.</t>
  </si>
  <si>
    <t>Montée au Relais à pied avec Thierry Damian en 1h120 environ, déco correct sans vent, rien en l'air.</t>
  </si>
  <si>
    <t>Je profite d'un navette pour le Planot, déco raté, je freine la voile trop tot, rien en l'air … si ce n'estr du plaisir.</t>
  </si>
  <si>
    <t>Départ de Gouaux par la vallée blanche jusqu’au sommet du télésiège de Serre Doumenge. (+880m)
Montée à pied avec Domi, Pierre et Jean-Luc depuis le bas de la piste "Vallée blanche" de la station des Agudes. 850m environ avec de la neige assez rapidement. La fin en prenant directement sur les pistes n'est pas bien bien sexy….Nous trouvons du vent d'ouest au sommet, donc déco largement travers G, je fais l'erreur de rester sur le coté ensoleillé, donc Est, et donc sous le vent d'ouets et ça dégueule tout le long. Quelques turbulences pas agréables, content de me poser.?</t>
  </si>
  <si>
    <t>Haut télésiège Doumenge</t>
  </si>
  <si>
    <t>Type de vol</t>
  </si>
  <si>
    <t>Rando</t>
  </si>
  <si>
    <t>Pic de la Calabasse</t>
  </si>
  <si>
    <t>Col de l'Herbe Soulette</t>
  </si>
  <si>
    <t>Anticyclonique, flux de N en altitude</t>
  </si>
  <si>
    <t>13h</t>
  </si>
  <si>
    <t>J'ai suivi le topo du site de V. Chéron. St Lary (09), remonté jusqu'au parking de l'Osque de Corbet (1100m) ou j'ai laissé le CC. Piste forestière jusqu'au Col de l'Estrade (refuge), puis jusqu'au col e l'Herbe Soulette (1600m) ou on sort de la forêt. Ensuite c'est raide en suivant la crête jusqu'au sommet (2200m). Le vent était NE quand je suis arrivé, j'ai magnifiquement raté un déco à cause d'un poignée de commande prise dans les avants. Le vent basculant au NO, j'ai changé de face, mais le vent étant quasi // à la crête, j'ai fini par mettre ma voile à cheval sur la crête, ça a failli fonctionner, bon gonfflage, mais dans la course d'élan, l'aile s'est dégonflé. Je suis du coup descendu dans un creux entre les deux bosses formant le sommet et làj'ai enfin pu étaler correctement la voile et faire un bon déco. OUF !!! Attéro nickel comme prévu à coté de la croix à l'herbe Soulette. Redescente de 500m pour récupérer le CC. Très colntent de moi !</t>
  </si>
  <si>
    <t>Cornudère</t>
  </si>
  <si>
    <t>Anticyclonique, flux de SO en altitude</t>
  </si>
  <si>
    <t>2h15 pour monter, pas mal, mais peu mieux faire… Je finif avec des BPJEPS qui viennent de finir leur formation. Après avoir mangé un bout rapidement, je décolle en premier face sud. J'ai failli rater le cycle, mais je récupère (un peu bas), après 3/4 cycles devant cornu en face sud, je m'en vais vers Soulan, ou je ne trouve pas grand chose, juste de quoi ralentir la descente.</t>
  </si>
  <si>
    <t>Provence</t>
  </si>
  <si>
    <t>Ste Victoire - Pic des Mouches</t>
  </si>
  <si>
    <t>Puyloubier</t>
  </si>
  <si>
    <t>Trè sléger flux de sud</t>
  </si>
  <si>
    <t xml:space="preserve">Je connais la Ste Victoire depuis toujours, mais de loin. Pourtant j'ai grandi à 30kms àvol d'oiseau, à 50 par la route, en passant par St Paul les Durances, Rians, Pourrières, Puylpoubier. Et c'est donc le première fois que je m'y rends, avec l'intention d'y monter et d'y voler. Les prévisions météos sont étonnantes, hier dimanches nous avions un mistral de dingue, ce matin encore c'est Nord, les fumées de la centrale de Gardannes le prouvent quand j'arrive au relais de St Ser vers 10h, mais il semble que vers 12-13h ça doit s'inverser en Sud. Je prends le sentier qui me parait le plus naturel pour monter au Pic des Mouches, mais au premier embranchement, je doute; A gauche les traces rouges vers la chapelle de Puylouber ou à droite vers "Tine, balisé en vert ? J'avais lu sur le topo qu'il fallait prendre un sentier en bleu.... Un gars arrive, l'air de celui qui connait les chemins du coin. Il me dit que c'est le vert qu'il faut prendre, soit, je lui emboite le pas à quelques distances, son allure me dit qu'il devrait me lacher. Finalement nous ferons toute la montée ensemble, lui  fringant et moi plus haletant. 2 pauses et 1h20 plus tard nous voici au sommet avec ... du vent de nord assez marqué, il est midi. Je l'imaginais comme ça, ce n'est pas une deception, mais comme la prévision parlait de 13 h, patience. De toutes façons c'est l'heure de déjeuner, face sud, plein soleil et à l'abri du vent. Les fumées de Gardanne semblent plutot ouest, elles montenet de plus en plus haut. La balise à quelques mètres de moi faibli peu à peu, puis de bien confortablement installé, nous commençons à nous geler sérieusement et enfin la balise passe au sud. Il est environ 13h.  Entre temps nous avons admiré le panorama, grandiose, rare comme la pluie dans ce pays depuis des mois (6?). Au sud Est, la Ste Baume, au sud, Cassis et la mer qui reflète magnifiquement ce soleil bas d'hiver, à l'Ouest l'étang de Berre, au Nord Ouest, au loin, le Ventoux, au Nord Est la Montagne de Lure et plus loin, les Ecrins. Il a fallu qu'un local bien sympa me l'indique sinon je serai passé à coté. Vers l'est, le plateau de Valensole, Moustier et le débouché des gorges du Verdon. Enorme !!!
La brise étant bien installé en sud, je décide de "tenter" ma chance et je vais me préparer calmement versant nord à l'abri. Toutes les couches y passent, au départ ce matin il faisait -5°c. Collant, pantalon, sur pantalon, 2 teeshirt, une polaire, la doudoune, bonnet, cagoule, casque, gants, un cosmaunaute. Toujours dans le calme et avec lenteur (je fatigue vite quand je suis équipé comme ça), je prends la voile en boule et passe coté sud ou la brise et juste comme il faut. Pré gonflage avec une cravate, second pré gonflage qui enlève la cravate et à y être puisque tout est propre, je fini mon gonfflage, me retourne et décolle. Wouahou, rien que ça, c'est énorme. Je fais pas le fier et ne lache surtout pas mes commandes pour m'installer comme il faut dans la sellette, sous moi, c'est hostile. Crevasses, rochers, ébouli, il ne ferai pas faire bon aller se crasher la dedans. Je trouve vite un premier petit trhermique, bien teuiuigneux, amis qui me suffit pour me maintenir et peu à peu m'insérer dans ce mileiu minéral. Mieux que ça, ça donne bien, je glisse un peu vers l'ouest, autre thermique, je remonte au niveau de la crête, de nouvea glissade vers l'ouest, de nouveau des bulles toujours genre pète sec et qui semblent dire, "tiens ta voile mon ptit gars, sinon tu vas tater du cailloux provençal". Déjà une dizaine de minutes que je jous comme ça, je finis de m'installer et commence à regretter de n'avoir que les petits gants et les mouffles, bien au chaud dans le "cokpit". Impossible au ras du cailloux de prendre le temps de les sortir. Je repasse devant le déco, salut mes compagnons de montée, pousse un peu plus à l'Est, presque au droit de Puyloubier donc 2-3 kms du déco et reviens, bien bas et pensant devoir aller me poser. Mais ... mais quelques bulles par ci, par là, quelques A/R fructeux au ras de la pente, et enfin le thermique qui va bien, pour enrouler et remonter jusqu'à la crête et même plus, 100 ou 150 m au dessus. C'est le moment ou jamais, je me lance dans la bataille, sors les moufles et les enfile par dessus les gants. Je suis repassé sous la crête dans la bagarre, mais c'est pas grave, je sais que ça va resortir et sans les gants, je n'aurais pas tenu beaucou plus longtemps. A partir de là, ce n'est plus que du bonheur, toujours entre 1000 et 1200m, je navigue peu à peu vers l'Est jusqu'à l'extrèmité du massif. Comme dans un film, je salut les randonneurs, je guette les corbeaux dans leurs arabesques et aussi les fumées dans la vallée, car le vent passe Ouest et je n'ai pas envie de finir en vrac dans un rouleau. Très satisafit de mon "exploit", je reviens vers le déco et je m'écarte en vallée pour profiter de la vue du massif vue du sud. Evidemment un avion de chasse passe à ce momente là, à l'Est de massif, plus bas que moi, comme pour me rappeller que je vole sans secours et qu'une sellette montagne, ça reste quelques bouts de ficelles du genre toile d'araignée. Pas si grave j'insiste un peu vers la plaine puis reviens vers l'attéro. J'ai encore un bon potentiel d'altitude, j'en profite pour qques A/R du coté de la chapelle de Puyloubier, et surtout je rentre peu à peu dans la logique de l'attéro, car celui ci n'est pas des plus facile. Tout ce passe bien, juste une brisounnette pour faciliter le poser. Pliage, photos et retour à la voiture juste à coté. C'est la première fois que je viens à la Ste Victoire, j'ai vu mon pays comme je ne l'imaginais pas, j'ai fait là l'un de mes plus beau vol, toute la beauté de la Provence comme peu de personne ont la chance de la voir, j'espère garder longtemps en mémoire les images de ces paysage et de ce vol. Comme dans les sites pour gogo touristes, je mets 4 étoiles à la Ste Victoire et "Vaut le voyage", mais pour pratiquants confirmés, déco, aérologie et attéro sont à prendre avec des pincettes. </t>
  </si>
  <si>
    <t>1035 Hpa</t>
  </si>
  <si>
    <t>Il fait un froid terrible à Arbas quand j'arrive. Je me prépare rapidement, ne prends pas les raquettes à neige et pars pour Cornudère. 1h30 pour le Planot, normal avec un peu de neige, ensuite ça devient plus dur, de nouveau 1h30 pour atteindre Cornudère. J'aurai du prendre les raquettes. Heureusement, la trace a été faite, et je ne m'enfonce paxs trop. Je décolle coté N avec de l'Ouest, pas facile, mais en y croyant, ça le fait. Je n'y croyais pas du tout et pourtant, un peu à Pène Blanque, bcp mieux à Soulan, puis retour à Bourrus, à chaque fois je monte jusuqu'à 1200 dans des thermique étroits, secs et turbulents. Je transite ensuite vers le Mountagnat et enfin le relais, magique de passer les 100h de vol cette année, CT mon objectif, au sortir de l'été je n'y croyais plus bcp et pourtant. Whaouh, je suis fier.</t>
  </si>
  <si>
    <t>Anticyclonique avec flux d'Ouest</t>
  </si>
  <si>
    <t>Je pensais qu'il y aurait de la neige, que nenni ou à peine. Du coup pas pris les raquettes. Montée en 2h35, passage au Planot en 1h20. des passages de ciro cumulus limite ubn peu l'ensoleillement, du coup il fait froid? Après mettre habillé et avoir mangé, et bien la situation n'est pas des plus jouasse, le vent est plein Ouest. Je vais voir coté sud, je reviens coté nord et je me décide pour tenter un gonflage face à l'ouest pour bifurquer vers le nord si ça veutr bien. Dans une bouffre sympa je gonffle comme il faut, je fais qques pas plein Ouest, donc en suivant la crête et dés que j'ai un peu de vitesse, j'oblique à Dr. dans la pente. Ca marche, ou plutot, ça vole. Par contre ça dégueule fort et je passe bien près des quéqués. Dés que je suis éloigné de la pente, tout est nickel. Bien content d'avoir décoller.... Coté Arbas, les nuages envahissent peu à peu le bocal mais plus bas que moi du coup,  je me régale à passer entre le soleil et eux pour admirer les cercles de Broken. Je ralenti un peu la descente du coté du Mountagnat et je vais me poser.</t>
  </si>
  <si>
    <t>Le Picou</t>
  </si>
  <si>
    <t>Ganac</t>
  </si>
  <si>
    <t>De l'Ouest était prévu vers 1500/1600 m, du coup, avec l'aide du superbe site de V. Chéron, j'aichoisi d'aller à Foix pour monter au Picou. Après être passer vérifier comment été l'attéro de Ganac que je n'ai pas fréquenté depuis des années, j'ai laissé la voiture au village. Cette fois je prends les raquettes, autant le dire tout de suite, elle ne serviront pas. Le début du sentier à la sortie du village est raide, pas facile de tourver son souffle. Ensuite dans le sous bois, il s'élargit un peu et il est vraiment très beau avec régulièrement des vues sur la plaine qui est encore dans le brouillard.
Je me fait doubler par un couple en jogging, ils ont du mérite, ça grimpe aund même. Après la sortie du bois, il y a des chasseurs en poste et du coup je longe le coté opposé de la crête pour tenter d'être "sous le feu" éventuel. Pour une fois j'ai tout mon attirail, teeshirt jaune fluo et bonnet orange de chez Solignac ! La montée reste assez raide, mais sans difficulté et je me retrouve au sommet ou je discute qques minutes avec un couple. Il est tôt, il fait beau, sdu coup je pousse jusqu'au Roc de Bataille. Là rencontre sympa avec 2 marcheurs, dont un "vieux" deltiste qui à entre autre était marié à une Arbasienne. Des potes à JL Nozières. Il m'indiquent les noms des pics du coin, vers l'est le St Barthélémy, au SE le plateau de Beille, au SO, les 3 seigneurs et plus loin le Valiier, je reconnais les coles de la Core, le Bouirex, plus loin, le Cagire et même tout au fon le Pic di Midi, autant dire que la vue est grandiose. Du temps que mon téléphone redémarre avec, je ne sais pas pourquoi une mise à jour des applications (J'te demande un peu pourquoi et surtout à ce moment là), je mange mon sandwich. Après qques photos, je redescend au Picou pour m'installer sur le déco Ouest qui est vraiment nickel. Il y a juste la petite brise qui va bien, gonfflage impecc, et c'est parti pour un vol typique d'hiver, l'impression d'être dans de l''huile, juste le bruit du vent, aucune secousse ou autre élément perturbeteur. La vue est magnifique en suivant la crête que j'ai grimpé un peu avant, je revoie les chasseurs alignés su la crête tout d'orange fluo, à ma droite le déco officiel du Prat d'Albis, au loins Foix et son chateau, un vrai vol de contemplation. Il faut que je me secoue pour me concentrer sue l'attééro qui n'est pas bien grand, à priori pas de vent, du coup je l'aborde en montée et je pose "entre les lignes", mission accomplie. En repliant, un local arrive, il attend un collègue pour monter voler, moi je repars chercher ma voiture et retour à la ville. Quel belle rando/vol, j'y retournerai et comme l'écrit Vincent, de préférence avec de la neige, ça doit être encore plus merveilleux.</t>
  </si>
  <si>
    <t>mars</t>
  </si>
  <si>
    <t>avril</t>
  </si>
  <si>
    <t>mai</t>
  </si>
  <si>
    <t>juin</t>
  </si>
  <si>
    <t>juillet</t>
  </si>
  <si>
    <t>août</t>
  </si>
  <si>
    <t>septembre</t>
  </si>
  <si>
    <t>octobre</t>
  </si>
  <si>
    <t>J</t>
  </si>
  <si>
    <t>D</t>
  </si>
  <si>
    <t>V</t>
  </si>
  <si>
    <t>S19</t>
  </si>
  <si>
    <t>Ascension</t>
  </si>
  <si>
    <t>S21</t>
  </si>
  <si>
    <t>Pentecôte</t>
  </si>
  <si>
    <t>X-Couze</t>
  </si>
  <si>
    <t>Marche &amp; Vol</t>
  </si>
  <si>
    <t>AUZAT (09)</t>
  </si>
  <si>
    <t>Sport</t>
  </si>
  <si>
    <t>Report Arbas</t>
  </si>
  <si>
    <t>Accous</t>
  </si>
  <si>
    <t>Lozère</t>
  </si>
  <si>
    <t>Vicdessos</t>
  </si>
  <si>
    <t>Dormillouse</t>
  </si>
  <si>
    <t>Foix</t>
  </si>
  <si>
    <t>SEDERON</t>
  </si>
  <si>
    <t>Local</t>
  </si>
  <si>
    <t>COLO</t>
  </si>
  <si>
    <t>Accompagnement à la Compétition</t>
  </si>
  <si>
    <t>L'Ouets n'est pas aussi fort que prévu, je vais un premier vol, sachany que Domi va me rejoindre</t>
  </si>
  <si>
    <t>Seconde montée avce domi, Qu'est-ce que ça glisse ! Et second petit vol d'un 1/4 d'h. Bien sympa.</t>
  </si>
  <si>
    <t>Monté en 2 temps, toujourd avec Domi. D'abord de l'éattéro au planot sans voile. Nous les avions déposé avant en voiture. Puis Le Planot Cornudère, avec en + Thierry, guillaume et Jérôme. Le vent est rapidmeent passé du sud au Nord. Petit vol d'une trentaine de minutes. ATTENTION, Déco bcp trop décontracte !</t>
  </si>
  <si>
    <t>Coupe Icare</t>
  </si>
  <si>
    <t>Cerdagne</t>
  </si>
  <si>
    <t>Mt Revard</t>
  </si>
  <si>
    <t>Saurier Freevol</t>
  </si>
  <si>
    <t>Maroc</t>
  </si>
  <si>
    <t>Agergour</t>
  </si>
  <si>
    <t>Col des Mines</t>
  </si>
  <si>
    <t>Aglou</t>
  </si>
  <si>
    <t>Tifnit / Douira</t>
  </si>
  <si>
    <t>M'Zouda</t>
  </si>
  <si>
    <t>Vent O-NO 20-35 kmh</t>
  </si>
  <si>
    <t>Après un passage à Souech ou je suis passé à 2 doigts de l'accident en me faisant arracher et retour sol juste en arrière, je passeà Gensac pour du gonflage et comme le vent baisse un peu, un mini vol juste après le décollage de l'Ecureuil. Les conditions ne sont pas bonnes, vent fort, turbulences à cause d'une tendane encore trop Ouest. Je me pose propre malgré une fin de descente assez turbulente. Beaucoup de gradient.</t>
  </si>
  <si>
    <t>J'arrive tôt, je pense faire un premier vol avant l'arrivée du troupeau et finalement ça tinent déjà très bien. Mais il y a du vent de nord, il fait très froid (-5°c au déco) et les thermique sont hachés, étroits. Bref pas des conditions d'anthologie, mais ça permet de s'aguerrir. Et quand les caïds arrivent et que je les vois thermiquer avec leurs guns, ça me remet bien à ma place. Bien sous la Névada avec laquelle j'ai beaucoup à apprendre.</t>
  </si>
  <si>
    <t>Sud-Ouest en altitude avant une dépression</t>
  </si>
  <si>
    <t>traine d'Ouest</t>
  </si>
  <si>
    <t>Fin de flux de SO</t>
  </si>
  <si>
    <t>Flux de SO en altitude</t>
  </si>
  <si>
    <t>Le premier vrai jour volable de l'année… Enfin. Après un début difficile à Bourrus, j'ai longtemps trainé à ooulan, puis retour au dessus de Pène Blanque, puis tentative de départ vers l'Est, mais je ne trouve rien du coté du col de l'Arbas, du coup retour,  thermique diffcile du coté du relais puis arrêt vario par manque batterie et retour à l'attéro. Les poinst positifs c'est que je suis en forme et que lorsque cela voudra le faire je devrias pourvoir repobndre présent.</t>
  </si>
  <si>
    <t>La journée s'annonçait baché et venteuse, et finalement à part un voile de cirrus, le SO abnnoncé nb'est jamais arrivé. Du cou plouf de fin d'après midi dans pas grand-chose d'exploiotable, maios la satisfaction d'avoir volé alors que personne n'était venu voir comment c'était;;. Vive le camping car!</t>
  </si>
  <si>
    <t>Anticyclone entre 2 dépressions</t>
  </si>
  <si>
    <t>Après avoir monté la voile en scoot et être redescendu  je suis remonré à pied. Journée ou ça monte partout et plutot dynamique, limite rock N'Roll. Mais le plafond du début vers 1550m ne m'a pas inspiré pour partir en cross. D cup j'ai fait des tours et retours dans la bocal et à la clé un triangle FAI d'un peu plus de 22 kms. Au retour essai couche mais ça n'ai pas concluant, ça déborde !!! Après m'être refait une santé, j'ai redressé la passerelle sur la rivière.</t>
  </si>
  <si>
    <t>Névada 2 24 light</t>
  </si>
  <si>
    <t>Suous un flux de Sud-Ouest se renforçant</t>
  </si>
  <si>
    <t>Le flux de sud apporte une telle chaleur qu'il n'y a pas d'ascendance, je transforme le vol vers de l'exercice</t>
  </si>
  <si>
    <t>Tangage que je n'arrive pas à vraiment envoyer, Roulis sellette seule avec inversion un peu sous l'horizon, quelques 360 à G.</t>
  </si>
  <si>
    <t>Gros voiles nuageux</t>
  </si>
  <si>
    <t>Belle instabilité mais flux de NO 15/20 kmh</t>
  </si>
  <si>
    <t>Competition</t>
  </si>
  <si>
    <t>Montée du Pkg de la fontaine de l'ours à Cornudère</t>
  </si>
  <si>
    <t xml:space="preserve">Après être remonté à pied chercher le scoot, je profile de la voiture de JL Nozieres pour aller faire un second vol, car malgré le gros voile nuageux, sa tient très bien. Vol étrange avec un plafond à environ 1300m mais ça tient un peu partout. J'ai même pris quelques gouttes de pluie... </t>
  </si>
  <si>
    <t>1ère compet. Tout ok coté matériel et programmation de Flyme de la manche. Je rame un peu au début car je n'arrive pas à sortir devant le déco mais je me refais à Bourrus puis à Soulan et finalement je suis à proximité du start quelques minutes avant le début, mais pas vraiment au plaf. Je fais la B1 à Cornudère sans problème, m'ai si j'avais fait le plaf avant ça aurait été plus fluide et rapide, transition par Soulan avec quasi le plaf pour la B2 qui est au Toas, au NO de Chein Dessus, je rentre dans la TMA4 à 1830m, la encore j'aurais pu être 100 à 150 m plus haut, grosse lutte à l'accélérateur pour atteindre B2 face à du NO 15/20 kmh, ensuite au retour je suis entre -3 et -5 tout à l'accélérateur pour fuir la zone, mais rien n'y fait je ne trouve rien et je me pose à Barrat. 1er constat, je n'ai pas assez cherxcher les plafs, 2ième constat, j'aurai du passer par la Husse et prendre la crête par le Col de Larrieu qui aurait été plus porteuse et peut-être revenir par là au llieu de tenter le Relais directemenet. 3ième constat, j'ai été trops obnubilé par la trace directe de balise à balise. Il faudra analyser le plan de vol au lieu de partir "tête baissée".</t>
  </si>
  <si>
    <t xml:space="preserve">Aspen 6 light - 24 </t>
  </si>
  <si>
    <t>Bagnères de bigorre</t>
  </si>
  <si>
    <t>Instable en flux de Sud avec retrour d'Est</t>
  </si>
  <si>
    <t>Plaf à 1900 de la Husse, pour ensuite trouber plutot du 2000. Sortie Cagire plutot haut, plus dur pour le Pic du Gar ou je reste en face Nord. Je reprneds bien au col des Ares pour traverser la Garonne. Au Saquetoin je rame un peu et fini par sortir quasiment à la hauteur du décollage. Ensuite c'est nouveau pour moi, j'assure moins bien les plafs et ça ce couvre, Alors que j'ai une voile juste devant (il fera 140kms), je commence à perdre en motivation et je pose à Bagneres. Mais ça rentre peu à peu, dés que le relief est moins boucher, je tenterai une entrée dans le massif, par Hèches, les baronnies et le Col d'Aspin ou Arreau.</t>
  </si>
  <si>
    <t>BiBéta 1 Profil</t>
  </si>
  <si>
    <t>Swing Astral 7</t>
  </si>
  <si>
    <t>Avec Louis</t>
  </si>
  <si>
    <t>Recyclage Biplace avec Profil Laurent Praderes et Michel Dumas en passager</t>
  </si>
  <si>
    <t>Essai de cette Astral 7 qui me décoit beaucoup, voile pataude, qui n'avance pas beaucoup, mais je ne suis qu'en milieu de fourchette.</t>
  </si>
  <si>
    <t>reprise avec la Névada qui decidément est une sacré bonne voile !</t>
  </si>
  <si>
    <t>BiGolden2 - 38</t>
  </si>
  <si>
    <t>Biplace</t>
  </si>
  <si>
    <t>Journée club Profil - Aurore (45kg)</t>
  </si>
  <si>
    <t>Journée club Profil - Lisa (45 kg)</t>
  </si>
  <si>
    <t>Journée club Profil - Asaya (30 kg) Détrimé à 75 %</t>
  </si>
  <si>
    <t>Pas en forme à cause de médocs anti inflammatoire, je prend squand même du plaisir mais avec un vol un peu en désordre …</t>
  </si>
  <si>
    <t>Cantal</t>
  </si>
  <si>
    <t>Dienne</t>
  </si>
  <si>
    <t>Alpes Nord</t>
  </si>
  <si>
    <t>léger vent de nord</t>
  </si>
  <si>
    <t>Vol de fin de journée après avoir passé la journée chez JL Duclos</t>
  </si>
  <si>
    <t>Chartreuse La Scia</t>
  </si>
  <si>
    <t>Molliet</t>
  </si>
  <si>
    <t>63 kms en A/R le lon,g du Revard. Je suis dans les derniers à boucler en 3h20, contre 1h55 au vainqueur.</t>
  </si>
  <si>
    <t>Pas génial, trop de vent de nord</t>
  </si>
  <si>
    <t>L'interieur des Bauges est grandiose. J'ai la chance de prendre 2700 au dessus du déco ce qui me permet de basculer vers la Dent de Crolles? Assez bizarrement, ça tient coté Est dans les thermiques du matin et coté Nord avec le vent météo. Peu de zones pour poser coté Chartreuse. Je trouve un grand champs, j'un des seuls un peu au dessu sde StPierre de Chartreuse.</t>
  </si>
  <si>
    <t>Vol bien costaud sur le massif de Belledonne. Décidemment faut un peu de temps pour s'acclimater à ces reliefs.</t>
  </si>
  <si>
    <t>Verel</t>
  </si>
  <si>
    <t>Belles conditions, mais le plaf monte un peu tard, il y a du vent de NO, du coup je n'ose pas partir vers le Cagire. Pas grave, beau tour du bocal dans de belles conditions, sauf à la fin ou il ne frait pas bon etre sous les vent des thermiques.</t>
  </si>
  <si>
    <t>Un de mes beaux vol de l'année…. Probablement? Après une tentative vers le nord ou je suis trop contré, Je transite vers L'Arclusaz. Impressionant. A hauteur de la crête je transite vers Aiton ou je me refaut assez facielement. Long passage à enrouler avec un planeur qui rame plus que moi. Je continue la crête vers l'Est jusqu'à la hauteur d'Albertville puis demi tour. J'ai beau faire le nuage au dessus d'Aiton, la traversée vers Chamoux est difficile et je raccroche bas, trop bas pour reprendre et après une bonne demi heure de lutte, je dois aller me poser à Chamoux. Pas grave, c'était magnifique.</t>
  </si>
  <si>
    <t>Reprise délicate après ces quasi 2 mois d'arret. Je suis bcp trop brutal aux commandes.</t>
  </si>
  <si>
    <t>déco dos voile cette fois ci, je ne m'aléliore pas… Les attéros sont eux, impecs.</t>
  </si>
  <si>
    <t>Ca va un peu mieux, les conditions s'y prétées aussi. Déco face voil départ en boule, correct mais sans plus, sensation de retour en vol, mais mauvais choix à un moment donné, décidemment quand les conditions sont faibles, il faut assurer les plafs avant les transitions, là trop d'optimisme, une première fois ou je me refaits de justesse à Bourrus, la seconde au Mountagnat ou cette fois, ça ne reprend pas.</t>
  </si>
  <si>
    <t>Col Ddu Glandon</t>
  </si>
  <si>
    <t>Cols Glanfon - Crx De Fer</t>
  </si>
  <si>
    <t>Flux de Nord 15 kmh</t>
  </si>
  <si>
    <t>Flux de Nord - pertubé</t>
  </si>
  <si>
    <t>Flux de sud en alt.</t>
  </si>
  <si>
    <t>Je n'étais pas revenu voler à Millau depuis 2001. 17 ans. C'est pas irne quand même. Pourtant l'impression d'être venu là; hier, ou allez, avant-hier ! Je vais directement à Brunas ou je me gare à l'attéro de Brunas. Je commence la montée à pied, et après au moins 200 m, un gars me prends avec son fourgon. Un accrobate, un vrai. Qui vient du Puy en CVelay et qui va à un festival à Oloron Ste Marie. Je fais quasiment le chemin inverse. Je passerai au Puy en fin d'après midi en allant vers les Alpes. Beau vol. Mémorable. Déco plutot facile, ça reprends bien sur les crêtes à droite du déco, plutot en thermique. Plusieurs fois je prends de beaux plafs et pars face au vent vers le Nord. A l'une de mes tentatives je parviens à la vertical de l'autoroute à la sortie du viaduc, coté Nord. Impressionant le viaduc. A l'époque de mon dernier passage il était en construction ....</t>
  </si>
  <si>
    <t>Après mettre reposé au déco de Brunas, et avoir croisé Roland Thurel, je redécolle. Je reprends Le Thermique du jour Qui me monte çà quasi 1900 m. le point de vue est grandiose. Après une branche vers le nord, je n'insiste pas et vais me poser.</t>
  </si>
  <si>
    <t>Vol très pertubé, l'un de mes plus "secoué". J'ai vraiment pris sur moi, pour tenir 1 heure. Seul point positif, ma voile est costraud en turbulences.</t>
  </si>
  <si>
    <t>Sur les conseils de Vincent Busquet quye j'ai eu au téléphone, je rejoins les parapenteux de son club au Col du Glandon. J'arrive un peu tard, pas grave, j'ai quand même le temps de me mettre en l'air et de me reposer proprement sur la crête. Sur la montée à mon arrivée, j'ai pris Julien Salomon qui venait de se poser. Du coup, d e fil en aiguille, nous allons nous installer pour la nuit à l'Est du Col de la croix de fer à coté d'un petit Lac. Belle soirée.</t>
  </si>
  <si>
    <t>Avec Julien, on se retrouve à mi distance entre les deux cols pour du vol en dynamique. Un bien bel endroit pour waggas et repose au sommet. C'est la première fois que je suis sur un tel site, y'a vraiment de quoi apprendre…. Mais le sol est proche, attention.</t>
  </si>
  <si>
    <t xml:space="preserve">Après un brin de sieste, le vent à  eaucoup baissé. Je redécolle pour aller me poser à cote du camping car, garé en gros à mi distance entre les 2 cols. </t>
  </si>
  <si>
    <t>Après une bonne discussion avec Julien, puis avoir fait un bon repas, je tente ma chance et repars avec la voile sur le dos; Je monte jusqu'à la crête à un peu plus de 2200 m et comme je l'espérais, les conditions sont toujours bonnes. J'espérais juste de quoi tenir un peu jusqu'à me poser, mais il y a de bons thermiques et par 3 fois je monte à 2200/2300. Au dernier thermique, bingo, plus de 2400m. J'avance vers le SO, ça ne fait que monter. Ca commence à m'inquiter alors j'envoie des 360 et des inversions jusqu'à aller me poser en fond de vallée sous le camping car. Ce n'était peut-êtyre pas craignos, mais seul au milieu de ce relief, entouré de crête à + de 3000m, j'ai pas eu envie de trainer .</t>
  </si>
  <si>
    <t>Cols Glandon - Crx De Fer</t>
  </si>
  <si>
    <t>Montée à pied avec Stéphane Crepy un loacl rencontrer sur le parking de l'attéro, à coté de la boutique Dezair de Patrick Berod. Lui décolle rapidement il doit voir sa fille à lmidi à Ugine. Je décolle ujuste après un Anglais en vol vbivouac sur 5 jours. Lui arrive à s'extraire facilement, moi non. Le ratage.... Du coup pposé assez rapide.</t>
  </si>
  <si>
    <t>De retour au CC, un auutre local, Jérôme qui vienbt pour le vol de l'après midi me propose de remonter. Qu'à cela ne tienne, je prends un bout de pain et une tranche de jambon et me revoilà de nouiveau au déco. Il ya a avec nous Louis, la soixaantaine qui reprend aprçs plueiurs années d'arrêt, cause genou Hs. Comme ils prennent vraiment leur temps je décolle en premier et trouve très vite un premier thermique. Mais comme par la suite en longeant la crête en direction de sud (donc dir&gt;. Ugine) je bloque dés que je suis à 100/200 m au dessus de la crête. Et j'ai peur de décaller en arrière du relief. Mais bon an mal an, je progresse et je sors de la crête orienté Est à partir du déco à 1450 m environ. Je transite vers les faces est fibnissant les Aravis vers Ugine et makgré une ambiance un peu rock and roll, je parviens jusqu'à un premier vrai thermique, base à 1900, plaf à 2300 environ. du coup je décalle vers le Charvin que j'atteins assez facilement, car au dessus de 2000 c'est sain. Je tente et abandonne rapidement l'idée de partir sur les Aravis, trop d'émotrions !!! Je pars donc, vers le Sud, donc face au vent de 10kmh environ. Je raccroche vers 1400 sous la Dent de Cons. Je me laisse "glisser" vers l'Est en espérant atteindre des zones plus ensolleillés, que je trouve et dans un bon thermique bien sain, je prends 2300 juste au Npord de la dent de Cons. Je transote ensuite vers le sud jusqu'à un col avec 2 grosses liognes THT qui m'arrêtent. Je reviens vres la Dent de Cons en pensant rentrer à l'attéro, mais je trouve un nouveau bon thermique qui me hisse à 2350. Du coupo je vais vers k'Esst jusqu'à 1 Pic nommé Crx Des Etoiles... du moins je crois. Je suis toujours à 2300 environ en compagnie de vautour. Du coup je fais une branche plein Nord qui m'amène au delà de Faverges et ensuite en continuant la gklissade je rentre à l'attéro. Je retrouve Jértome et Louis à qui j'offre une bière. Un peu plus tard c'est Stéphane que je revois. Décidemment que des types bien sympas.</t>
  </si>
  <si>
    <t>Cole Des Frêtes</t>
  </si>
  <si>
    <t>Doussard</t>
  </si>
  <si>
    <t>Col des Aravis</t>
  </si>
  <si>
    <t>Sur les conseils de Stéphane rencontré à Marlens, après être montré du camping de la Nublière au Pkg du déco de Planfait en scoot, je monte à pied au col des Frêtes. Comme je me trompe de chemin, je galère sous les dents de Crolles dans les éboulis. J'attends partiemment au déco et pourtant je décolle quand même trop tot. Je ne trouve pas grand chose devant les Dents, peut-être aurait-il fallu m'avancer ? Quoiqu'il en soit, n'y arrivant pas, je glisse vers le lanfonnet ou ça reprend gentiment, mieux qu'aux dents ... pensant mon vol plus ou moins terminé au bout d'une heure, je glisse vers le déco de la Forclaz et sans faire exprès, je tombe sur une mine en face est derrière les rochers du Roux. Reùmonté aux alentours de 1900, je retente ma chance dans l'autre sens. Lanfonnet... Bof, Dents de Lanfonts, un peu mieux. J'arrive à environ 1900 et un gars avec une artik partant vers le Parmelan, je lefais pareil. Bien m'en a pris, c''est le vrai début de mon vol. Au Parmelan,, grosses ascendences toniques qui me mmaintiennent aux alentours de 2000 m, jusqu'à la point Ouest du cirque au dessus du haut du cable qui arrive au Parmelan. Je fais demi tout, toujours l'Artik devant moi ? Je suis plus patient que lui et je fais un bon plein avant de quitter le local ce qui me permet de raccrocher assez facilement sous les Dents de lanfon au dessus de Planfait. Je fais assez facilement un petit 2000, du coup je tente la traversée du Lac; J'arrive assez bien au Roc des Boeufs, mais qurprise, pas de brise. Rien que des petits thermiques. Je lutte en compagnie de voiles bien plus perfs que la mienne jusqu'à ce que ça s'installe et que la situtaion soit plus facile. De bon thermique en thermo dynamique, j'arrive au bout du Roc. Certains traversent vers la Margeriaz, ce n'est pas pour moi aujourd'hui, ça fait bien 4h que je voles, c'est beaucoup pour moi? Du coup retour vers le déco de la Forclaz, histoire de boucler un vrai tour du bocal. Ensuite retour vers Doussard ou je suis content d'avoir bien géré le trafic... Beau vol, maklgrés un début laborioeux.</t>
  </si>
  <si>
    <t>Comme convenu, Stephane Crepy d'Ugines, rencontré 2 jours avant à Marlens, viens me prendre au Pkg de La Giettaz ou j'ai passé la nuit. Quelques lacets plus haut en allant vers le col des Arravis, nous laissons la voiture pour monter à pied, vers un déco "sauvage" un peu plus haut que la vierge du Chatellard. Rude montée, Stéphane monte comme un cabris, pas moi. Arrivée au déco, il y a déjà 2 pilotes prés à parti, à priori des costauds. on se prépare, Stéphane pars en premier suivi qques minutes plus tard par Stépahne et moi dans la foulée. Sté^phane est déjà sorti et prêt à partir vers le Charvin, alors que je rame à m'extraire. Mais j'y arrive et à partir de 1900/2000 ça devient nettement plus facile. Je commence la traversée vers le sud à 2500m. Il fallait ça, la reprise de l'autre coté n'est pas facile. Je bataille dans la face est de l'Etal. Je finis par trouver un vrai thermique qui me monte vers 2300/2400 et à partir de là tout est plus facile. Je vais tout droit quasi toujours à 2300 jusqu'au Charvin, que je longe par son coté NE, alors que son coté SO est pris dans un nuage partant de bien bas. Toujours tout droit, je me retrouve au même endroit sous l'Etal en face est. mais cette fois je trouve un puissant ascesnseur qui me mpnte jusqu'à 2900m. Parfait pour retraverser le col des Aravis. Je reprends facilement dans la zone au dessus du déco et toujours entre 2700 et presque 3000, je vais à la pointe Percée. Je n'insiste pas vers l'Est NE, je préfère revenir pour boucler. Su le retour je fais un petit écart plein SE, histoire de faire un mini triangle et puis aussi parcequ'il y a un  beau cum, que j'arrive à atteindre après avoir un peu cherché son thermique. Retour vers la chaine et direction une zone de forte baisse pour aller atterir au Col des Arravis ou une asse forte brise m'attend. Et une bonne bière à l'un des 3 ou 4 bars/resto du col. Je redescends à ala Giettaz à pied, en chemin rencontre et discussion sympa avec un cycliste parti de Nantes il y a 2semaines 1/2 et qui fait le tour de France version puriste, quand même 5500 kms en 6 semaines. Chapeau, d'autant qu'évidemment, il n'a pas de moteur électrique ... Lui.</t>
  </si>
  <si>
    <t>Plus de vent, belle instablité</t>
  </si>
  <si>
    <t>Mon plus beau cross, triangle FAI de 75 kms, déco Col des Aravis avec Stéphane Crépy qui malheureusemenbr à oublier son vario, On va à l'extrème bout Ouest de la chaine aporès le Charvin. Je rame grave pour en sortir au retour, toute la crête jusqu'à la pointe d'Areu parès l apointe percée est facile, toujours entre 2400 et 2800. Stpéhne lui passe par en bas, il mont eplus vite, va plus vite et semble en total décontraction sans vario, alors que moi.... Bref une ou plusieurs classe d'écart. Comme espéré, on part vers le Gd Bornand, je pars au nuage à 2900. Pour la première fois, j'utilise le pénilex dans la transition, je ne pensais pas que ce serait un tel souolagmenet, presque un plaiair. Je raccorche un thermique au passge du coup, j'arrivbe haut et bco lieux placé que Stéphane sur le relief à l'Est du Gd bo. Je reprends dfifficilement un thermique qui déclencxhe sur le plateau au Nord de la crête, du coup Stéphane qui avait raccorché sous la crête n'y parvient pas. Je continue le col seul mais sur ses conseils avisés. Je reprends facilement au Lachat longeant le plateau des Glières, puis le Parmelan dans une transition très secouée mais facile. Au retour je vais la bêtise de ne pas me refaire dans la combe du Parmelan et je me retrouve sous le vent. Je dois trasiter direcctement vers les relilefs à l'ouest des dents de Lanfon. J'y trouve un thermique salavateur, ainsin qu'un peu plus loin sur un plateau intermédiaire qu'i me permet de rentrer au Col des Aravis. Vol énorme pour moi, parfois bien tonique, parfois Arbasien dans les reprise en face nord au ras des arbres et souvent grandiose avec des vues sur les massidfs environnant avec toujours +ou- le mont Blanc au loin qui domine toute la région.</t>
  </si>
  <si>
    <t>Essai de la Volt 3 taille SM de Air Design:
J'ai passé 2 bonnes heures sous la Volt, après un déco typé montagne depuis Cornudère le relief (1500m) au dessus d'Arbas. Pré gonflage et gonflage très facile, d'ailleurs j'en avais fait quelque uns dimanche soir, la voile semble vraiment facile à manier. Je me suis fais d'ailleurs dépasser, je pensais qu'elle aller fermer en frontal, ben non, elle a bien résister, je suppose les bienfaits du sharknose ? bonne impression. Faudrait voir par vent soutenu...
En vol, je n'ai pas eu d'effet particulier lié à l'allongement. Elle transmet nettement moins que ma Névada 2 light 24. Elle est bien plus facile à "voler". Beaucoup de qualités, en particulier en virage et en taux de chute. Je suis resté dans des ascendances dans lesquels je n'aurai pas tenu bien longtemps. Elle semble très bien transiter, pas de mouvements parasites. L’accélérateur est facile et la voile donne confiance, même au second barreau.
Par contre je n'ai pas vu des vitesses ébouriffantes au GPS, mais je suppose que c'est du aux conditions, je vérifierai sur un prochain vol.
Mais, pour l'instant j'ai 2 bémols, 1 de taille pour moi, l'effort aux commandes qui est un peu important pour moi. Trop ? Je sais pas, c'est peut-être aussi lié à la prise de commande, en dragonne, c'est trop long et j'ai un mauvais bras de levier, en tour de main, je manque de feeling et ça me donne des fourmis dans les mains assez rapidement. J'avais le même problème avec ma Névada, auquel j'ai remédié en ajoutant au dessus des poignées normales, une poignée de voltige de chez gin.
Le 2ième bémol, c'est les oreilles, elles flappent beaucoup et se ré-ouvrent assez difficilement. Par contre elles sont efficaces. J'ai fait des mini fermeture asymétrique par fermeture d'une seule oreille, RAS, comme ma Névada, elle part du coté opposé à la fermeture. Il parait que c'est l'augmentation de portance coté ouvert qui prend le dessus sur la trainée supplémentaire coté fermée ??? Toujours est-il que c'est rassurant.</t>
  </si>
  <si>
    <t>Air Design Volt 3 SM</t>
  </si>
  <si>
    <t>Anticylonique 1030 Hpa</t>
  </si>
  <si>
    <t>Sky Paraglider Exos</t>
  </si>
  <si>
    <t>Cette fois, j'ai donné la Volt à Thierry, ce qui me permet d'essayer son Exos… Magnifique voile ! Bcp mieux que la Volt que je trouve un peu limite en qualité de construction. Je pars dans les premiers et c'est difficile de s'extraire de Bourrus. Ensuite à La Husse de prends 1750 et comme un con je me précipite vers le Cagire. En dessous il y avait Thierry qui ensuite ira sur les faces sud jusqu'au Pic de La Calebasse ... grrrrr.... Je ne trouve quasi rien à Plaède. Je me refais sous le vent en face sud au dessus de la route qui va de sangouagnet à Isault. Vers 1600 je transite vers le relais 2de erreur, j'aurai du viser Caoubèche. Après avoir mazeguer qques minutes je décide de tenter ma chance sur les reliefs au Nd de Millas, mais je n'arrive à rien trouver d'exploitable, je pose à 1 km environ d'Aspect. Retour difficile, heureusement qu'Edith fait demi tour pour me ramener à Arbas.</t>
  </si>
  <si>
    <t>Essai sellette Supair Delight 2 - M. Pas de problème particulier pour rentrée dans le cocon, mes pré réglages avaient l'air Ok.</t>
  </si>
  <si>
    <t>Déco de Cornudère depuis le Pkg de la fontaine de l'ours. J'ai de la chance, je suis le seul à réussir à décoler face sud ou je prends un beau thermique , en allant vers l'Ouest, Paloumère, je ne trouve plus rien, jusqu'à la husse en fait. Ensuite vol dans le bocal. j'ai du desserrer un peu les bretelles au dbut du vol et en fin de vol je suis passé à un vol un peu plus assis. La sellette est moins confortable que la swing, mais peut-être qu'en travaillant les réglages ? ... En tout cas, je la garde.</t>
  </si>
  <si>
    <t>Bi avec Louis. On s'est fait monter par Olivier et Edith qui montaient à Cornudère. Tout nickel, que du plaisir.</t>
  </si>
  <si>
    <t>Comme un con je n'ai pas assez vérifier l'interidction de décollage de herran. Ricaud me le dit en radio, je vais dare dare me poser. Ensuite j'enverrai un email à la liste "Profil" puis contact avec Christian Chanfreau, j'espère qu'il n'y aura pas de conséquence, mais ça m'a foutu ma journée ne l'air. Faut dire, pas d'info par mail, pas de panneau au déco du Planot. il n'y avait qu'un panneau à la buvette et je l'ai pas vu et opour cause, je ne passe jamais à la buvette avant un vol.</t>
  </si>
  <si>
    <t>A^près être monté au vol précédent au Planot à pied avec le sac normal, comme je n'ai pas envie de passer un après midi à ruminer à ma connerie du matin, je monte à Herran avec le sac light. 1h45. Finalement assez facile. Déco bien alimenté mais en vent météo que je retrouve en l'air et qui m'inquiéte un peu car sasn accélérateur je me sens démuni en cas d'imprévu. En plus assez rapidement j'ai une crampe dans la cuisse gauche, du coup, je vais ma poser, ce qui n'est pas si facile car ça monte un peu partout. Comme quoi pas la peine de décoller tot pour bien tenir.</t>
  </si>
  <si>
    <t>Je monte à pied avec le parapente à Cornudère en 2h30 environ. Sac Nervures, sellettes delight, secours etc …) Ca ce fait bien, mais hje n'ai pas assez bu et manger. Ap^rès avoir espéré un déco face sud, je décolle face nor avec un peu d'ouest. Je transite vers Pène Blanque puis La Husse . Les pilotes décollés du Planot s'enterrent alors que je m'en sors bien. Je reste longtemps du coté de la Husse, avec un bon passage à 1700m. Partant à 1400 enviro longue transition pour la Mountgnat ou je me refais assea facilement. Puis croix de Gueret., puis le Relais. Je me rends à moitié malade en faisant des photos de thierry en bi. En plus de je suis crevé, retour attéro et puis CT mon objectif, passer les 100 h. Bingo.</t>
  </si>
  <si>
    <t>Anticyclonique 1026</t>
  </si>
  <si>
    <t>Je monte de nouveau à Cornudère à pied depuis l'attéro avec le gros sac, mais cette fois en passant par herran. La montée est plus facile sauf la fin qui est bien raide. 2h40. J'arrive vers midi, ça me laisse du temps pour me refaire une santé, mager et même une micor sieste. Malheureusement, je n'arrive poas à accrocher le thermique face sud, alors que des vautours étaient sortis. Du coup, je vais à Soulan car à Pène Blanque je ne trouve rien. puis le Mountagnat, puis le col d'Arbas. Je refais un bon plaf, je tente d'aller vers herbes blanches, mais au 4 chemins, je fais demi tout, car je ne trouve rien. C'est trop tard pour raccrocher et je vais me poser.</t>
  </si>
  <si>
    <t>Anticyclonique 1027</t>
  </si>
  <si>
    <t>De nouveau Cornudère pour un vol quasi identique à la veille. Fin de vol avec 2 ferm. Asymétrique G et D pluto profonde.</t>
  </si>
  <si>
    <t>Anticyclonique 1028</t>
  </si>
  <si>
    <t>Je monte à cornudère depuis l'attéro d'Arbas avec le sac normal. Environ 2h40 oar le Planot. Déco coté sud, je sors tout de suite, même si j'ai eu du mal à m'installer. En 2 thermique j'arrive à Paloumère, mais je ne reprends rien, et ej descends peu à peu en revenat vers le déco ou j'arrive à -200m. Heureusement je retrouve un bon thermique et je ressors à 1900 avec l'aide de Vincent Malan qui lui sortait du déco de cornu. Je continue vers et jusqu'à Herbes Blanche, après un passage au relais, plus rien .... belle récup en face sud, faudrait aller reconnaitre les attéros à Pportet d'Aspet et au col voir à quoi ça ressemble ....</t>
  </si>
  <si>
    <t>Je monte à Cornu par Herran en 2h40 environ, en "flanant". Après avoir arracher les restes de chardons pour nettoyer le déco, avoir manger et fait une mini sieste, je décolle dés que possible après l'ouverture de 13h30. 1er thermique plutot rock and roll. Comme je prends très vite + de 2000, j'en profite pour aller loin devant le déco vers le sud et faire des photos de cornu au retour. Après avoir plus de temps pour monter au plaf par la même ascendance, je transite vers Piscatel. Péniblement je reprends 1850. J'aurai du patienter, je voulais 1900, la suite va me montrer que j'aurai du ! J'arrive de nouveau à Cornu, juste sous la crête sud. Du temps d'un virage à gauche et revenir vers l'ouest et la porte de sortie vers le versant nord, il est déjà trop tard, je suis juste un peu audessus de la crête et pas assez pour oser passer au dessus. Je continue donc vers l'Ouest, en espérant un pt'it quelque chose qui me remonte, mais je descends à la même pente que la crête. Je vais donc me poser dans un champ en dessous de la croix de Guéret, garnd, mais encaissé et bordé d'arbres. Autour du champs, ça descend et il y a des arbres, et évidemment au moment ou je rentre dans le champs, ça porte, et même ça déclenche. Je n'ai rien de trop sur la longueur, une vingtaine de mètres de rab. Mais bon c'est posé à 980 m d'alt. il est15h40. Je n'ai plus qu'à remonter la face sud pour eller redécoller à Herran. J'ai donc en théorie un petit 250 m à monter.</t>
  </si>
  <si>
    <t>La sortie du champs est compliqué par des ronces et des arbres bas très piquants. Ensuite je monte pleine pente, et c'est raide. Je n'ai plus beaucoup d'eau, peut-être 1/3 litre, je vais la gérer en 3 fois, un coup au début, un coup vers le milieu, et un coup quand j'en pourrais plus. Je ne suis pas sûr du timing, mais j'atteins la crête au dessus de la croix de Guéret, je dois redesecndre vers le déco d'Herran, d'ou je redecollerai à 16h49. Je m'en sors donc plutot, bien, 1h pour plier ma voile, monter hors sentier, un petit 300m de dénivellé, peéparer ma voile et redécoller.
En plus le second vol est très agréable, thermique doiux et facile, je prends des fotos de Vincent Malan au Moutagnat puis de Jean Louis Nozières à Soulan.</t>
  </si>
  <si>
    <t>Queen 2 - MS</t>
  </si>
  <si>
    <t>Acc.</t>
  </si>
  <si>
    <t>Vince</t>
  </si>
  <si>
    <t>Quand j'arrive à Cornudère CT décollable en sud avec de nmx vautour et corbeaux alentours. Ils se disputaient une charogne un peu plus loin. Mais à cause de la limite horaire de décollage … raté. En attendant je débrousaille qques buissons. Et les nuages arrivent. Alors je tente d'aller voir la curée. Pas facile. Je réussi à décoller, le ciel coté nord est magnifique mais je ne réussi pas à trouver les zonées d'ascendances; Tant pis.</t>
  </si>
  <si>
    <t>Je monte en scoot au Planot. Je retournerai le chercher à pied plus tard. 1er essai de la Queen2. Vent nul au déco, on m'a dit qu'elle montait mal. Stupido. Elle monte très bien, progressivement, je la sens bien me passer à la vertical puis aller chercher son incidence dans la pente. Les 2a utres vols à suivre confirmeront, RAS coté déco sans vent. Par contre, elle me parait immense. Presque 2m² de plus que la Névada et 1 m de + en envergure. J'ai l'impression d'avoir à faire à mon bi. Sur ce 1er vol bien court, rien de particulier, sauf, mais je ne le recouperai que plus tard, qu'elle tend à aller à gauche.</t>
  </si>
  <si>
    <t>Re déco sans vent. RAS; Par contre en l'air, elle tire à gauche comme une forcenée. Je vérifie 10 fois ne pas avoir de clef, j'en arrive à douter de ma sellette, bref le vol est full gaché à cause de ça, plus le cocon qui passe au dessus de la planchette, bref à oublier.</t>
  </si>
  <si>
    <t>déco deu Relais sans vent, certain dise que c'est limite, noses in the finger, royal la Queen2 au déco. Quelques bulles loin de vant le relais, juste le temps de constater que l'effort aux commandes est léger et surtout d'une grande efficacitré dans les premiers centimètres. En vol droit avec 2/3 cm, elle perd quasi 5 kmh. Il va falloir être super fin en thermique pour l'optiomiser. Mais le vol est vriament court. Vince qui me regarde atterir, me ditr qu'il a l'impression que le volet de frein est plsu important à gauche. Cette fois, je décide de comprendre, avec Vince et Xavier on vérifie par comparaison les lignes de freins, c'est les commandes qui ont été retouchées, un des 2 noeuds est bidon. On remet tout bien comme il faut et je la rapporte à Thierry, prochain essai à Ager la seaine prochaine. Elle me semble aussi plutot lente, mais peut-être que c'est concomitant avec cette histoire de freins. A suivre.</t>
  </si>
  <si>
    <t>Espagne nord</t>
  </si>
  <si>
    <t>Flux d'Est Fort</t>
  </si>
  <si>
    <t>Flux d'Ouest Fort</t>
  </si>
  <si>
    <t>Déco de l'intermédiaire plutot bien alimenté de face. En l'air l'Est est fort, 15/20 kmh, pas beaucoup de plaisir à voler dans ces conditions….</t>
  </si>
  <si>
    <t xml:space="preserve">déco du Gabrielo, qui s'apparente à un déco falaise. La voile est pposée sur du plat en arrière de la cassure et elle n'est pas alimentée. Les locaux partent avec 2 bons mètres de suspentes détendues et bourrinent grave pour gonfler - Décoller. Je suis plus soft, mais c'est vrai qu'une première tentative de gonfflage échoue, la voile ne trouve pas d'air. Un pilote me tient le bord d'attaque en hauteur et là c'est ok. Vol vraiment en local, cette fois c'est le vent d'Ouest qui est fort, plus fort que l'Est de la veille. En plus  la seule fois ou je trouve un bon thermique qui me monte à hauteur de la 2ième falaise, je dois aller voir de plus près une voile et son pilote qui se son mis dans les kékés en arrière du Gabrielo. Vu de haut RAS, il était en train de la sortir des branches.  </t>
  </si>
  <si>
    <t>1er essai  de basses vitesses + Pumping.</t>
  </si>
  <si>
    <t>Il en fallu du temps avant de décoller. Mais après c'était bien sympa. Beaucoup de vautours, tellement que j'ai cru m'en prendre un, au point de gueuler un grand coup pour qu'il s'éloigne…. Décollé du Col d'Arès, je me pose sur le plateau intermédiare et du coup je remonte en une petite trentaine de minutes pour aller chercher le scoot... Cool.</t>
  </si>
  <si>
    <t>Scoot</t>
  </si>
  <si>
    <t>Castillonroy</t>
  </si>
  <si>
    <t>Surfair</t>
  </si>
  <si>
    <t>Monté quasi au Col d'Ares avec la kortel, je suis redesecndu à l'intermédiaire car trop de vent la haut. Marrant j'y arrive juste au moment ou Thierry arrice avec ses eleves. Il est juste trop tard, il n'y a plus d'activité…</t>
  </si>
  <si>
    <t>Une première pour ce site de repli orienté sud-ouest. Le vent est un peu trop travers, mais ça reste jouable. Beau déco face voile, attéro OK.</t>
  </si>
  <si>
    <t>janvier</t>
  </si>
  <si>
    <t>février</t>
  </si>
  <si>
    <t>novembre</t>
  </si>
  <si>
    <t>décembre</t>
  </si>
  <si>
    <t>Névada 2 - 24 Light</t>
  </si>
  <si>
    <t>Legzira</t>
  </si>
  <si>
    <t>J'ai fait tous mes vols à Legzira à partor du relief situé à qques kms de la cote. Pas assez de vent pour voler sur les falaises. L'accès est facile depuis la route, il ya un sentier qui part vers la Dr. Et qui rejoint la piste au niveau d'un col. Joli chemin. Sympa. J'ai eaasyé par la gauche (vue face au déco), mais il n'y a pas de vari sentier et on se retrouve entre les kékés divers et variés. Comme il avait bcp plu, ça glissait. Il vaut mieux le passage par la droite.</t>
  </si>
  <si>
    <t>Pas de chance avec la météo, pas bien beau et surtout du vent météo. Je n'ai rien compris à l'aérologie, pas un seul joli vol dont j'aurai pu être fier. Je suppose que les thermiques étaient plus devant, dans le flux de vallée et je n'ai jamais su…. Dommage, le séjour a plutot été frustrant. C'est comme ça, y'a des moments plus ou moins porteurs.</t>
  </si>
  <si>
    <t>La phrase à rétenir : Demain ! Tant d'hommes ont prononcé de mot avec l'incroyable légèreté des mortels. P. Magnan - Les courriers de la mort.</t>
  </si>
  <si>
    <t>777 Queen 2 - MS Test</t>
  </si>
  <si>
    <t>Plan de Montmajou</t>
  </si>
  <si>
    <t>Pic du Gar</t>
  </si>
  <si>
    <t>Val Louron 700</t>
  </si>
  <si>
    <t>rando</t>
  </si>
  <si>
    <t>CC</t>
  </si>
  <si>
    <t>Artigues</t>
  </si>
  <si>
    <t>Eup</t>
  </si>
  <si>
    <t>Les jours se suivent et ne se ressemble pas. Magnifique plouf avec juste 2/3 bullettes. D'ailleurs pas d'oiseau en vol.</t>
  </si>
  <si>
    <t>Essai de virages accélérant puis remontant après 1/2 tour. Y'a du boulot !</t>
  </si>
  <si>
    <t>La météo n'était pas très optimiste, voile de nuages important le matin, mais qui vont s'avérer être des cums d'instabilité. Je laisse le CC au col d'Azet et monte au 700. Pas mal de vautour en l'air alors qu'il est 11h. Je me prépare assez vite et bien sûr le vent passe de cul. Ensuit il est méchemment travers, enf ait il presque sud. Je réussi à décoller et prend très vite la pompe de service devant à gauche le déco.Je vais assez loin sur la crête vers le nord vers Arreau. Les nuages sont à 1900/2000environ et bizarrement ça mont plus haut coté nord que coté sud des nuages. Je reviens vers le déco, fait la crête est/ouest qui va du col d'Azet jusqu'à au dessus du village d'Azet. 9a tient très bien. Il y a des vautours un peu partout. Vu aussi un Gypaète. Aisni que harde de Cerf/biches. Journée animaux ! Je suis plutot bien sous la Queen que j'étrenne alors que je viens de l'acheter avec une petite dizaine d'heures au compteur.</t>
  </si>
  <si>
    <t>Montée depuis le rd point de St Béat/Eup. Autrement dit je me fais une montée totale au Pic de Gar. Ou plutot au Pic de Saillant, celui qui a la croix. Déco finalement coté ouest, car coté Sud ça ne me plait pas trop. Justement coté sud je trouve un thermique sympa qui me permet de remontée et d'aller vers la falaise principale. Bcp de vautours qui ont du mal à monter eux aussi.</t>
  </si>
  <si>
    <t>Parti depuis Artigues ou j'ai laissé le CC, la montée est pluto sympa, dans du chemin puis de l'estive. Je ne trouve rien au cours de la descente à part un thermqiue anémique en compagnie de qques vautours. Posé dans l'un des nbx champs au dessus d'Artigues.</t>
  </si>
  <si>
    <t>Queen 2</t>
  </si>
  <si>
    <t>Acheté neuve 3000€ en 07/2017</t>
  </si>
  <si>
    <t>75/90</t>
  </si>
  <si>
    <t>un peu que j'avais oublié mes batons, un peu une espèce de fatigue générale ont fait de la montée un moment de "galère". Mais je suis quand même monté en 2h30. Comme quoi sensation et vitesse font 2. Thierry décolle juste quand j'arrive et Bernard Trouche est prés à partir. Mais le vent a tourné et il va avoir du mal, d'ailleur pendant tout le temps de ma préparation. J'étale coté nord, et une fois près ... je décide de basculer coté sud. Bien m'en a pris, c'est bien alimenté et je décolle facilement. Toute la face sud est parcemé de bulles. Je bascule ensuite vers Herra mais je suis très haut au dessus de la couhe d'inversion qui est très marqué avec la sensation de rentrer dans un frigo. Mais quais rien en dessous. Par cntre Bernard qui a fini par suivre mon exemple prend une cinquantaine de mètres au dessus de Cornu et trace direct vers le relais ou il va tenir une bonne demi heure. Bon choix pourlui, mauvais pour moi .... Décidemmet je  n'arrive toujours pas à analyser les conditions de vol ...</t>
  </si>
  <si>
    <t>Vols d'exercices : Tangages, Tempo. Roulis à la sellette. Virages accélérants par 1/2 tours. Qques bulles ppour le 3ième vols et surtout de la brise d'Est qui créait de bonnes trubulances sous le relief et permettaiet de tenir sur les faces Ouest. La brise est rentrer tard, vers 15H, peut-être 20 kmh.</t>
  </si>
  <si>
    <t>6 vols d'exercices idem jour précédent. Je maitrise, tangages (dolphinage) et roulis sellette. Je suis bien sur les virage accélérants, un peu moins bien sur les virages remontants. Les wings over commencent a être bien rythmés même si pas très ample. Nouvel essai basse vitesse, sous les maillons, très physique, avec l'impression de de plus avoir de vitesse, pourtant, elle vole encore.</t>
  </si>
  <si>
    <t>Montmajou</t>
  </si>
  <si>
    <t>Apres avoir laissé la CC à artigues, la montée se fait bien en 2h15 environ. Joli vol ralenti par qques bulles en compagnie d'un grand nombre de vautours. Posé à l'aérodrome de Luchon, je mremonte en vélo à Artigue 600m de dénivellé. Je suis content de moi !</t>
  </si>
  <si>
    <t>Je commence à bien cadencer les wings. J'ai encore bcp de mal avec les 360 asymétrique</t>
  </si>
  <si>
    <t>Je rate aussi 1fois/2 les sorties dissipées, qui finissent en chandelles plus ou moins maitrisées.</t>
  </si>
  <si>
    <t>Je traverse la vallée vers Herran où je ne trouve rien, dommage. Mais au moins j'ai fait une fois le tour de la vallée. Je passe à la vertical de la piste à 1000m. Il en manque un peu, mais c'est pas pas la cata, et aujourd'hui l'aérodrome était fermé.</t>
  </si>
  <si>
    <t>Même programme que l'avant-veille, dormis à Artigues, monté au Montmajou en 2h, déco en Ouest, vol "ralenti" par des ascendances difficile à exploiter car décoller de la face sud par le vente de NO.</t>
  </si>
  <si>
    <t>Déco de la cabanne du Cabrioules au dessus de la vallée du Lys, qques ascendances sur la face sud, puis une bonne bagarre sous Techous. Je rentre un peu tard, mais la Queen fait la différence, ça plane ….</t>
  </si>
  <si>
    <t>Qques bulles à Cazaril</t>
  </si>
  <si>
    <t>Joli vol, je vais au dessus des rochers école, derrière Herran. Je trouve une ascendance alors que je n'y crois plus et près à rentrer penaud (et un pau bas)… Après une vaine tentative sur les faces sud, je reprendrs 1500 et transite au dessus d'Herranr. Je reprends des belles ascendances du cité de la "machine à laver", je transite vers le Nord et retrouve des ascendancessur le versant Sud se Sode. Je fais la bêtise departir direct vers Artigues alors que j'auria du remonter la crête vers le Montmajou, du coup je suis dans la brise, pas agréable avec des bulles très hachées et peu à peu je descends. Du coup je rentre un peu bas vers l'aérordome et je croise de trop près un avion dans son approche.</t>
  </si>
  <si>
    <t>Sous Pic Noir</t>
  </si>
  <si>
    <t>Appy</t>
  </si>
  <si>
    <t>Colombie</t>
  </si>
  <si>
    <t>Aqua Panela</t>
  </si>
  <si>
    <t>navette</t>
  </si>
  <si>
    <t>Instable en basse couche, sudouest en altitude, retour d'Est.</t>
  </si>
  <si>
    <t>Planot</t>
  </si>
  <si>
    <t>Galié (Garonne)</t>
  </si>
  <si>
    <t>NE 10-15 kmh</t>
  </si>
  <si>
    <t>1er vrai vol avec la Queen dans des conditions délicates car avec du vent, plutot NE. Evidemment beaucoup d'appréhension. Difficulté à m'installer dans le cocon dont la partie inférieure de coince au dessus du plateau. La voile est vraiemnt à la hauteur de mes espérences en termes de perf, de vitresse de pénétartion dans le vent, un auutre monde par rapport à la Névada. Les commandes me semblent un peu physique, pais les conditions n'tatéient pas facile et demandées de tenir la voile comme il faut. Pas d'incident notable. Elle est facile à coler accéléré au 1er barreau, semble perdre beaucoup de tau de chutre au second. Une belle machine.Reste à l'apprivoiser sur la durée.</t>
  </si>
  <si>
    <t>Fougaron</t>
  </si>
  <si>
    <t>J vais sans trop de problème jusqu'au col d'Ho, mais je fais un point bas. Commençant à revenir pour poser dans la cvallée de Juzet d'Issault, je retrouve un tehrmique, du coup je tente le retour et ça finit par revenir mais on sans mal. Après un 1er échac à Paloumère ou de 1850 je suis scotché par le vent d'Est, je passe pâr Dausse et la face Nord de Cornudère, et ça marche. Mais gros combat !</t>
  </si>
  <si>
    <t>On pensait avec La Tachte partir vers l'Ouest mais trop de vent à la Husse nous fait faire demi tour. Je me vois beau et transit directement vers le col d'Arbas, 1ere erreur, je ne truve rien. En tentant de trouver une ascendance je remont la crête vers le sud, 2ième erreur, toujours rien, je me retrouve sur les faces sud de Berteille et me pose miteux à fougaron. Que de conneries</t>
  </si>
  <si>
    <t>parti de l'attéro df'arbas à pied, je recupère ma voile au pkg de la fontaine de l'ours poru Cornudère. Bon vent de N pour bien décoller. Après un passage à la husse pour constater qu'il y a toujours de l'ouest, je pars vers Cornudère puis les crêtes jusuqu'à Herbes Blanches. Je retrouve une bonne ascendance en compagnie de PPa et sa Zeno, et Tim avec sa M6. Je les suis vers l'Esteals dont ils sortent rapidement. Je gakère un bout de temps avant de trouver la bonne solution et de 1800 j'ai de la peine à rentrer au relais. Mais au moins je boucle proprement.</t>
  </si>
  <si>
    <t>Plouf du matin avec Louis pour éviter les trubulences</t>
  </si>
  <si>
    <t>On rate le thermique en sortie de déco</t>
  </si>
  <si>
    <t>2d vol avec uentin, cette fois, on prend un  thermique en allant vers Bourrusse. On ne le lache pas en dérivant jusqu'à la crête de Cornu. Ensuite La Husse, Mountagnat, Relais. Quentin content de poser car on se faisait quand même un pêu secouer !!!</t>
  </si>
  <si>
    <t>Alpes nord</t>
  </si>
  <si>
    <t>Serpaton</t>
  </si>
  <si>
    <t xml:space="preserve">Scoot </t>
  </si>
  <si>
    <t>Nord en altitide</t>
  </si>
  <si>
    <t>Grisail</t>
  </si>
  <si>
    <t>Monté au Serpaton en scooter, je décole dans les derniers. Ca monte tout seul devant le déco. Direction Sud, passage au Gd Veymont ou j'emplafonne les 300m/sol du parc du Vercors, dommage, je savais pâs, j'aurai du me renseigner avant. Le Sys Evo me la signaler, mais du temps de comprendre. Pas facile cet outil. Ensuite duirect Nord jusqu'à la pointe au dessu de Grenoble, puis retour. Dommage que je me fasse enterré sur la fin, qui est un peu misérable.</t>
  </si>
  <si>
    <t>Crash</t>
  </si>
  <si>
    <t>Entrevernes</t>
  </si>
  <si>
    <t>2h20 pour monter, avec le matos montagne dont maintenant un secours ! Pourtant je l'ai eu dure sur la fin. Vol sans interet, j'ai trouvé que ça bougeait pas mal pour pas grand-chose…</t>
  </si>
  <si>
    <t>Flux d'Est</t>
  </si>
  <si>
    <t>Voile laissée au déco en voiture et remontée à pied. Turbulent avec le flux d'Est 10/15kmh. D'ailleu j'étais le seul en l'air. Attéro déliact et turbulent.</t>
  </si>
  <si>
    <t>Montée à pied, le sac déjà en haut. Vol correct avec un beau passage du coté de Piscatel.</t>
  </si>
  <si>
    <t>Comme jeudi dernier mais avce le flux inverse. Donc montée à pied avec la voile en haut, thermiques un peu partout mais turbulents. Cette fois du monde en l'air!</t>
  </si>
  <si>
    <t>Greg</t>
  </si>
  <si>
    <t>Thierry Damian</t>
  </si>
  <si>
    <t>Eric</t>
  </si>
  <si>
    <t>Herran</t>
  </si>
  <si>
    <t>Montée à Cornudère, le vent est trop fort, je descend au Planit pour décoller.</t>
  </si>
  <si>
    <t>Montée à Herran, je décolle vers 16h après 2 heures de farniente au déco. Toutes petites conditions à la pompe à Cham.</t>
  </si>
  <si>
    <t>Avec Louis.</t>
  </si>
  <si>
    <t>Sky Bi de Thierry</t>
  </si>
  <si>
    <t>Avec Quentin, Bi beaucoup trop physique, aux commandes et pour trimer. Impossible pour moi.</t>
  </si>
  <si>
    <t>Enfin un beau, beau vol en biplace. On sort entre le déco et Bourrus, peu à peu, patiemment. Puis la pompe d'Herran. La 1ère tentative n'est pas la bonne et après un second passage dans la pompe d'Herran, on réussit à se caler sur Cornudère. Longs passages en thermo dynamique, un vrai régal. Puis un A/R à Herbes blanches en toute sécurité. Notre plus beau vol avec Quentin.</t>
  </si>
  <si>
    <t>descente de Cornudère après y avor passé la nuit en bivouac. 1ere tentatve réussie.</t>
  </si>
  <si>
    <t>Avec Quentin</t>
  </si>
  <si>
    <t>Vince me monte au parkiing + 15' de montée et je suis à Herran dans des conditions parfaites. Que du plaisir à enchainer les virages en appui dans le vent dynamique. Quelques wings pour finir le vol.</t>
  </si>
  <si>
    <t>Pic du Gar, Estelas</t>
  </si>
  <si>
    <t>Je retrouve la Névada après contrôle, qques retouches de calage, mais surtout les freins qui étaient trop court de 10mm. Du coup je rate mon prmeir déco et les commandes sont vraiment basses. Autre changement, elle est plus amortie en ressource !!! C'est très étrange, après une abatée provoquée au freins, à la resosurce suivante, elle s'arrête un peu avant la frontière à inclinaison 0. Du coup pour lui faire prendre de l'amplitude en tangage, il faut commencer à freiner légèrement avant le passage de la frontière, L'Effet réflexe peut-être ?</t>
  </si>
  <si>
    <t>Révision 1 mai 2019 après 20 h de vol. Pour revente chez Ripair.</t>
  </si>
  <si>
    <t>BI Golden 2 - 38</t>
  </si>
  <si>
    <t>Historique</t>
  </si>
  <si>
    <t>Contrôle</t>
  </si>
  <si>
    <t>Acheté à Fabien Pratviel qui avait fait une cinnquantaine de ploufs du matin avec. Chanagement des élélvateurs solo pour des bi neufs.</t>
  </si>
  <si>
    <t>Révision Déc 2018 après envrion 50 heures de vol.
Jugée en très bon état, Reste plus de 80% de durée de vie.</t>
  </si>
  <si>
    <t>Parfaite</t>
  </si>
  <si>
    <t>Flux de NO forcissant</t>
  </si>
  <si>
    <t>Enfin un beau vol avec beaucoup de plaisir. Conditions météo parfaites, thermique doux, large du coté du col d'Arbas, pas de vent, l'air avait une fraicheur de printemps, l'impression de se baigner dans une source d'eau claire. Merveilleux.</t>
  </si>
  <si>
    <t>Montée à Herran, après 1pos 1/2 d'arrêt, les jambes un peu lourdes mais ça passe bien.</t>
  </si>
  <si>
    <t>Un plouf de rappel comme quoi rien n'est jamais acquis. Dégeulante sous le déco, incapable de raccrocher à Bourrus, c'est aussi ça de faire du parapente.</t>
  </si>
  <si>
    <t>Du coup, je décolle seul bien après tout le monde. J'ai encore une fois du mal, mais je sors à Bourrus ou Dominique Menez arrive dans le thermique, au dessus de moi et enroule dans le sens opposé. Quand j'ai vu cette voile arriver je m'en suis douté, ça n'a pas raté. Du coup je pars un peu tot vers Soulan où j'arrive un peu bas, mais ça repart bien. Beau thermique en face ouets de la Husse, puis passage de nouveau à Bourrus, puis au Mountagnat, mais le vent forçit et je  préfère aller me poser.</t>
  </si>
  <si>
    <t>Vol avec Lucie, 10 ans, 20 kg</t>
  </si>
  <si>
    <t>Vol avec Nathanael, 9 ans 25 kg</t>
  </si>
  <si>
    <t>Vol avec Amandine, maman de Nathanael, 45 kg</t>
  </si>
  <si>
    <t>Vol avec Jeanine sœur de Christian Chanfreau, 50 kg</t>
  </si>
  <si>
    <t>Aguergour</t>
  </si>
  <si>
    <t>Année horibilis, en espérant que 2020 soit plus clémente et agréable</t>
  </si>
  <si>
    <t>Nord forcissant</t>
  </si>
  <si>
    <t>Départ X-Pyr</t>
  </si>
  <si>
    <t>Route du Vol "Hivernale"</t>
  </si>
  <si>
    <t>Soaring</t>
  </si>
  <si>
    <t>Compet Arbas</t>
  </si>
  <si>
    <t>report Arbas</t>
  </si>
  <si>
    <t>Biplaces Profil</t>
  </si>
  <si>
    <t>Flux de sud</t>
  </si>
  <si>
    <t>12h40</t>
  </si>
  <si>
    <t>Rmq</t>
  </si>
  <si>
    <t>Je pensais qu'il y aurait de l'ouest alors je suis allé à Herran. Petite brisounette de NE au déco. Directeion la ppe à Cham qui eatait bien anémique au début. J'ai fini par trouvé une bonne pompe qui m'a monté à 1350, du coup j'ai rejoins le troupeau qui était installé à Soulan. Ou ça n'tait pas si bon. Du coup retour au Mountagnat via un plein à Bourrus. Super thermique comme ça faisait longtemps pour le plaf du jour 1400. Diection Les Irigades ou je trouve un thermqiue sous le vent et bien couché en Est. Etonnant. Je tente de suivre La Zéno de Philou, mais là ou il raccroche au Moutnagant, je suis obligé de controurné le relief par le nord, j'arrive sous la crête et je n'arrive pas à sortir. Beau vol, serein, sans pensée parasite. Bien !!!</t>
  </si>
  <si>
    <t>Ouest 15 à Blagnac</t>
  </si>
  <si>
    <t>Toujours de petites conditions, trop bu hier soir, ça me rend malade, une bonne 1/2 heure pour m'en remettre à l'attéro.</t>
  </si>
  <si>
    <t>Conditions trop petites pour moi.</t>
  </si>
  <si>
    <t>Mcc Aviation</t>
  </si>
  <si>
    <t>Secours SOS Bi</t>
  </si>
  <si>
    <t>Max 200 kg</t>
  </si>
  <si>
    <t>Walibi Lite biplace</t>
  </si>
  <si>
    <t>ML</t>
  </si>
  <si>
    <t>Max 120</t>
  </si>
  <si>
    <t>Extralight</t>
  </si>
  <si>
    <t>Montagne</t>
  </si>
  <si>
    <t>Max 85</t>
  </si>
  <si>
    <t>Max 105</t>
  </si>
  <si>
    <t>Acheté d'occasion 400€ début 2018. 
N° série 2167.ML.11.28Dtae fab 30;11;2017</t>
  </si>
  <si>
    <t xml:space="preserve">N° Certification  PS 037.0101
1354-32-05'11
Produit en avril 2013
Acheté à Thierry Struxiano Surfair en 2017. </t>
  </si>
  <si>
    <t>Total incompréhension de la masse d'air, complétement à coté de la plaque, alors que tout le monde vol bien et loin (Cagire), je reste planté en local.</t>
  </si>
  <si>
    <t>Idem, Quelle frustration !</t>
  </si>
  <si>
    <t>Un peu moins bien que la veille, au moins je réussi à rester un peu en l'air. Je m'énerve contre un suiveur ce qui me fait fuir trop tot vers le relais.</t>
  </si>
  <si>
    <t>Après 1900 m de dénivelé dans la journéée dont 700 avec le sac, un vol un peu plus apaisé</t>
  </si>
  <si>
    <t>Le 1er vol à peu près normal de la semaine, un peu court, mais en revenat du trelais vers le mountagnat je suis un peu bas et je ne me bats pas assez sous le vent de la brise dans le thermique à Cham.</t>
  </si>
  <si>
    <t>Plafonds trop bas, pour partir vers le Cagire, après un beau thermique au dessus du déco, je vais me poser à Cornu</t>
  </si>
  <si>
    <t>Dcéo de cornu avec pas mal de vent, cette fois je pars de la Husse à 1850 vers le Cagire, je raccorhce miraculeusement sous plaède. Beau passage au Cagire, A/R assez facile au Pic de Gar. Par contre de retour vers 1800 en face NO du Cagire, alors que jcherche à grapiller le plaf pour assurer ma transition, en quelques minutes, plus rien, je perds tout et me pose àa la vierge de sengougnet. Quelle rage !</t>
  </si>
  <si>
    <t>Enfin un vol correct, même si je me fais beaucopup balader sous la voile…. Mais de beaux thermiques, un beau passage à Corbudère, une belle sortie à Herbe blanche .. Vol sans erreurs, ni stress. Ouf. Je sais encore faire….</t>
  </si>
  <si>
    <t>Rocépie</t>
  </si>
  <si>
    <t>Et voilà un vol de référence. Malgès 1500 m de plafond sur Arbas, je réussi à prendre 1950 sur la bordure Ouest du nuage à la Husse. Du coup raccrochage facile à Plaède, montée ay Cagire sans problème. En partant vers l'Ouest, beau thermique pour le plaf du jour 2200m. Je pense que c'est la pompe à Richard. Plus dur sur la face nord du Gar, mais je réussi facilement l'A/R. Bon ticket de sortie coté est mais pour une transition difficile vers le parking de ? (Pour monter au Cagire face nord). Thermique atomique probablement un peu sous le vent pour 2000m. Faces Ouest du Cagire j'ai un pau de mal, je ne retrouve pas le plaf et ja pars vers le Picon à2050. J'arrive  au dessus du Picon, je fais un A/R au ras des arbres jusqu'au sous paloumère qui me ramène sous le Picon environ 1000m. Là enfin un bon thermique qui me permets de décaler sur la crête direction paloumère. Dans un passage au soleirl je réussi à prendre 1650, je m'en contente et je vais me poser sous Rocépie pour récupérer la voiture au Planot. De toutes façons ce n'était pas suffisant pour passer serenement....</t>
  </si>
  <si>
    <t>GIN Fuse 2</t>
  </si>
  <si>
    <t>Bi Golden 4 42</t>
  </si>
  <si>
    <t>Avec Louis, un bel A/R à herbes Blanches dans une restitution bien sympa</t>
  </si>
  <si>
    <t>Avec Quentin, pas réussi à sortir de Bourrus</t>
  </si>
  <si>
    <t>Avec Quentin, cette fois on sort à Bourrus dans un thermique très couché quasi à nous ramener au Planot, la suite plus facile mais Quentin était malade. Le Fuse 2 a trops de mouvement de lacet / roulis</t>
  </si>
  <si>
    <t>Vol du soir avec Quentin, trop d'hombre, mais passage sous Bourrus / Pène Blanque bien sympa</t>
  </si>
  <si>
    <t>Avec Quentin et le bi de Thierry. Rien à voir en confort, en plsu avec la sellette Supair Passager du Club, un régal pour la passager. Un peu physique pour moi, Mais machine rassurante, plus facile pour centrer les thermiques, même si peut-être un peu moins perf que le Fuse.</t>
  </si>
  <si>
    <t>Montée à pired, sac en haut, plus personne en haut à midi quand j'arrive et lee voile nuageux se renforce. 9a port bien en l'air mais je ne trouve pas les ascendances que les autres ont trouvés en décollant à 11h30.</t>
  </si>
  <si>
    <t>Sur le retou, mini vole à Gensac où c'est trop faible.</t>
  </si>
  <si>
    <t>vent d'O NO désagréable</t>
  </si>
  <si>
    <t>plafond un peu bas pour profiter vraiment, mais c'est bien sympa de retrouver la montagne</t>
  </si>
  <si>
    <t>BGD Dual 40</t>
  </si>
  <si>
    <t>Magnifique vol avec Malika, A/R au Cagire, passage délicat au retour par Paloumère, Herbes blanches.</t>
  </si>
  <si>
    <t>Plouf tranquille avec Louis</t>
  </si>
  <si>
    <t>Petites conditions hachées, avec Quentin. On abandonne par manque de plaisir.</t>
  </si>
  <si>
    <t>Anticyclonique flux de sud</t>
  </si>
  <si>
    <t>Après un A/R sur la crête vers Arreau, je retrouve Vince au nord de l'Estos. Ensuite je le suis jusqu'au Spigeolles. On se reperd de vue ensuite. Passage au Pic du Lion et retour.</t>
  </si>
  <si>
    <t>Triangle FAI en suivant Michel Delahuerta, facile à l'aller jusqu'à d'Espiaube, transition très chaotique pour revenir à Val louron. Sortie facile du rocher des aigles puis de l'Estos. Transition facile jusqu'au Grand Quayrat. Retour compliqué face à 10/15 d'Ouest. Plus facile pour moi en passant par les pics de Nère et Arrouge, plus difficile pour Michel qui vise directement le Val d'Aube. Retour par le Pic du Lion, toujours aussi peu acceuillant dans son coté sous le vent (Sud)</t>
  </si>
  <si>
    <t>On monte avec Michel bellegarde à Cornu depuis le parking de la fontainie de l'ours. Bien nous en a pris, la face sud donne, mais trop choatique pour rester longtemps.</t>
  </si>
  <si>
    <t>On décolle un peu trop tard, on ne trouve plus rien</t>
  </si>
  <si>
    <t>Cett fois c'est trop tot.</t>
  </si>
  <si>
    <t>Et cette fois, l'activité orgaeuse menace, ça mont trop facilement, nous préférons aller nous poser.</t>
  </si>
  <si>
    <t>Rencontre de Steven un Hollandais qui passe quelque jours à Arbas. La veille nous avons fait, Attéro/Déco d'Herran/Planot et descent en stop à cause de la pluis qui arrive. Cette fois, on tente Cornu et on décolle en est… un peu osé, mais ça marche. Il faut du vent, au moins 10 kmh.</t>
  </si>
  <si>
    <t>1er vol d'essai avec la Diamir 2 Ex Vincent. A priori RAS</t>
  </si>
  <si>
    <t>2nd vol, confirmation de mes impressions de vol des essais de 2017; C'est une super voile, plus amorti et facile à piloter que la Névada. Attention aux basses vitesses.</t>
  </si>
  <si>
    <t>Avant l'arrivée d'un front orageux d'Ouest</t>
  </si>
  <si>
    <t>Des conditions plutot pourries, limite dangeureuse. Des thermiques explosifs mais qui talonne aux alentours de 13000m. Du vent plutot est en début de vol, puis ouest en fin. 3/4 heures après être posé, le vent d'ouest est bien présent et piège 2pilotes aux décos tardifs mais sans conséquence pour eux.</t>
  </si>
  <si>
    <t>Voile d'altitude en SO</t>
  </si>
  <si>
    <t>Etrange d'être tout seul au déco, faut dire que la météo n'était pas très optimiste. Finalement v'était plutot dynamique jusqu'à l'arrivée d'un gros voiel nuageux.</t>
  </si>
  <si>
    <t>Flux de NO avec beaucoup de vent, attéro limite</t>
  </si>
  <si>
    <t xml:space="preserve">Décollé tôt les conditions sont fumantes mais avec 1700 à la Husse je ne pars pas vers le cagire. Passage au Thoas, puis au relais ou je ne trouve rien, </t>
  </si>
  <si>
    <t>Les prévisions étaient parfaites, la réalité tout autre. En plus on décolle trop tot, du coup on semmerde à Soulan à se renrdre malade. Ensuite tour du bocal mais l'envie n'y était plus.</t>
  </si>
  <si>
    <t>Vol de découverte avec léna 45 kg</t>
  </si>
  <si>
    <t>Vol de découvert avec Claire 65 kg. Premier gonfflage raté pour une énorme clé pas vu au démélage. Second déco raté parceque je contrôle mal la voile et ensuite notre course d'élan est trop hératique alors je stoppe tout. 3ième déco face voile Ok.</t>
  </si>
  <si>
    <t>En gros le même vol que la veille mais dans des conditions beaucoup plus softe du coup beaucoup plus de plaisir.</t>
  </si>
  <si>
    <t>VIP2 - Passager biplace</t>
  </si>
  <si>
    <t>Acheté 2400€ en fin d'année avec 10h de vol.
Volé 13h avec, vendu suite gros vrac à 1900€</t>
  </si>
  <si>
    <t>Kruyer 3</t>
  </si>
  <si>
    <t>Achetée neuve à Surfair le14/08/2020 à 288€TTC
N° série 19197-KR-M-29</t>
  </si>
  <si>
    <t>Casque School</t>
  </si>
  <si>
    <t>56-62</t>
  </si>
  <si>
    <t>Ecarteur rigide</t>
  </si>
  <si>
    <t>Acheté neuf à Surfair pour 76€ le 14/08/2020</t>
  </si>
  <si>
    <t>Achetés neuf à Surfair pour 80 €TTC le 14/08/2020</t>
  </si>
  <si>
    <t>Un vol comme je les aime, et même si au début je me suis fait bougé, du temps de retrouver mes repères et e,suite, dans des thermiques puissants mais plafonnant au mieux à 1400, je vais un peu partout dans le bocal. Un régal.</t>
  </si>
  <si>
    <t>Année géniale, déplacements dans les Alpes, Maroc, Espagne, 1 compet au revard… Superrrr</t>
  </si>
  <si>
    <t>E</t>
  </si>
  <si>
    <t>Monté en 2 temps. Je pensais être un peu juste pour partir de l'attéro, du coup j'ai laissé la C15 à Herran. Cç monte bien à Cornu sans trop de mal. 1h30 enviuron. Après un vol sympa, posé à Arbas bien sûr, je suis remonté chercher la voiture, toujours avec le sac (selette montagne) en peut-être 1h. La boucle est bouclée. Yooupiii.</t>
  </si>
  <si>
    <t>De nouveau montée en 2 temps, mais cette fois je laisse le C15 au pkg de la fontaine de l'ours et je monte avec le sac "site". Vol agréable pour le dernier avant le ocnfinemant je pouvais pas espérer mieux.</t>
  </si>
  <si>
    <t>Nord super 17 kmh à Blagnac</t>
  </si>
  <si>
    <t>Navette</t>
  </si>
  <si>
    <t>Venu à Arabs pour voir le montage du carbu de la tondeuse, finalement je monte la voile en C15, redescend, remonte à pied 1h10 environ et fais le 1er vol de l'année. Ouf…</t>
  </si>
  <si>
    <t>Frace à Ivan et sa femme, je peux faire un 2ièmle vol.</t>
  </si>
  <si>
    <t xml:space="preserve">Flux de sud </t>
  </si>
  <si>
    <t>Sacré plaisir à retrouver la moontée à Cornudère. Le saxc sur le dos uniquement depuis la pkg de la fontaine de l'ours. En haut un peu de sud, genre 10/15 kmh et des ascendances bizarres sur la face sud. Du coup je ne traine pas et je bascule vers Soulan ou il y avait de quoi jouer un bon moment.</t>
  </si>
  <si>
    <t>Trop mal partout pour remarcher, du coup je fais soft et j'abandonne assez rapidement Soulan, plaf trop faible et trops de monde. Quelques exercices habituels, bien en tangage;</t>
  </si>
  <si>
    <t>Décollé trop tot, avec Michel et son Exos on ne reussi pas à tenir à Soulan.</t>
  </si>
  <si>
    <t>Par contre cette fois c'est mieux, rien à Bourrus ou Michel Delahuerta se fait enterré alors qu;à Soulan ça fonctionne plutot bien. Remontée jusqu'à la Husse, moi je talonne un peu, mais 2 voiles basculent vers Paloumère. Le plus beau et sympa des  ces premiers vols de l'année.</t>
  </si>
  <si>
    <t>Le ciel était baché, du coup je suis monté à pied et  j'ai décollé après tout le monde, je n'ai pas su exploiter les maigres ascendences, alors que d'autre ont volé jusqu'à 2 heures… la prochaine fois …</t>
  </si>
  <si>
    <t>On pensais tenter notre chance faces sud de Cornu, mais il y avait un vrai flux de N, NE qui s'est renforcé dans l'après midi. Du coup décollage nord. Au début la vallée d'arbas est à l'ombre et ça ne tient qu'au moutagnat. Ensuite ça c'est ouvert; Je fais le nuage à l'Husse. Passage à Herbe Blanches et au bout de la crête au NE du relais. Bref un grand tour du bocal bien sympa.</t>
  </si>
  <si>
    <t>Contrôle tous les 2 ans
Ok le 03/05/2020
Ok le 15/03/2021</t>
  </si>
  <si>
    <t xml:space="preserve">Acheté neuve à Surfair à 515 € en 07/2020
</t>
  </si>
  <si>
    <t>BGD</t>
  </si>
  <si>
    <t>Dual 41</t>
  </si>
  <si>
    <t>Flux de No</t>
  </si>
  <si>
    <t>Reprise du bi. Trop de stress et d'oublies, dont la non vérification du réglage des trims. Trim dont la poignée de commende casse. L'essentiel est sauvagarder, déco correct et attéro idem, même si arrondi tardif</t>
  </si>
  <si>
    <t>Du froid, un peu de vent, un secours face sud de cornu me font abandonner rapidement.</t>
  </si>
  <si>
    <t>Flux de So</t>
  </si>
  <si>
    <t>Tendance NE</t>
  </si>
  <si>
    <t>Flux de SE</t>
  </si>
  <si>
    <t>Bon début et joli plaf à la Husse. Contré en SO, j'arrive bien placé à Plaède, mais je ne trouve rien. Je tente les faces NO au dessus de Juzet, mais rien. Michel Delahuerta est comme moi.</t>
  </si>
  <si>
    <t>Conditions de nSE que je ne connaissais pas. Je décolle avec le voile et ne trouve pas grand-chose. Bourrus n'est pas sain. Vince ecourtera son vol. Par contre je remonte à pied en grand forme, je coupe le grand A/R sur le nord du bas de Bourrus et je monte en moins d'1h. Mon record</t>
  </si>
  <si>
    <t>Conditions de merde. Un froid de cabnard, probablement 0° à 1500 m.Vent de Est ou NE, très désagréable. Je fais l'effort de durer pour atteeindre l'heure de vol.</t>
  </si>
  <si>
    <t>Plutot merdique dont une approche au radada des arbres et un posé en virage…. Bouhhhhh…</t>
  </si>
  <si>
    <t xml:space="preserve">Mieux de bout en bout. Des bons thermiques des bonnes senstations de belle vues sur les reliefs tout vert … berf beaucoup de plaisir. </t>
  </si>
  <si>
    <t>Super vol, thermique en sortie de déco, François me montre la voie pour l'optimiser, il part de la husse pour le Cagire, je reste dans le bocal. Bon choix, je me refais bien sur la crête derrière Pène Blanque, je trouve la porte de sortie au dessus de RocetPy, ce qui me permet de prendre les thermiques face sud, génial. ensuite Toute la crête facile jusqu'à Herbes Blanches, en insistant un peu je trouve le thermique pour rentrer par le Relais. Que du bon. Youpiii.</t>
  </si>
  <si>
    <t>Flux de NE 10 kmh</t>
  </si>
  <si>
    <t>J'espérais mieux , mais finalement je m'en sors plutot bien vu les conditions. Les cums des faces sud débordant dans la bocal, de nombreuses zones d'ombres ont un peu gachés la journée. Pas si grave, vol bien maitrisé malgrés quelques cisaillements et turbulences.</t>
  </si>
  <si>
    <t>Dommafge que Quentin est le mal de l'air, on était parti pour le cagire. Pas grave, le point de vue à 2000 au dessus de la Husse valait le déplacement. Super retout par la crête paloumère Cornudère.</t>
  </si>
  <si>
    <t>Flux de Nord 10 kmh</t>
  </si>
  <si>
    <t>Ahhh ça faisait longtemps que je n'avais pas fait un vol comme clui là. Jamais facile mais avec de belles conditions. Beaucoup de mal à sortir au Cagire à l'aller, je zone du coté de la crête nord aux environs de 1400, je finis par sortir en décallant vers le NO. Je pense que les thermiques étaient soufflés en NO dans cette zone. Ensuite beuaocup plus facile, je reprends juste un thermique au Pic de Gar, le retour vers le Cagire est un peu compliquée, heureusement je me refait au thermique de la carrière. Au retour, je raccroché sous Paloumère, c'est plus facile ! Ensuite je passe avec chance au Sud de la cabanne de Rocépi. Le plateau est sous le vent !!! La fin est top facile, 1800 à herbes blanche, relais ....</t>
  </si>
  <si>
    <t>1er vol avec le Dual de Mumu. Il fait froid, du coup on abrège le vol.</t>
  </si>
  <si>
    <t>Long passage d'un voile d'altitude qui me fait rester à Soulan, mais avec beaucoup deplaisir car beaucoup de vautours, a un moment j'enroule avec une bonne vingtaine d'entre eux. C'est la première fois que je vole avec autant d'oiseaux et aussi près.</t>
  </si>
  <si>
    <t>Retour d'Est</t>
  </si>
  <si>
    <t>Décidemment ce vent d'Est est agacant; De belles ascendences quand même.</t>
  </si>
  <si>
    <t>Décidemment après 45' environ, Quentin ne sent pas bien. Pas grave, on était scotché entre Herran et Piscatel, rien de génial</t>
  </si>
  <si>
    <t>vent de  ord</t>
  </si>
  <si>
    <t>Début difficile à Bourrus, mais je finis pas réussir à sortir, direction La Husse pour le plaf du jour. Passage par Rocépy, Cornu, un 1er passage raté à Piscatel, reprise difficile au Mountagnat sous le vent, finalement ça monte très devant et Herbe blanche est une formalité.Par contre aller jusqu'au Relais n'est pas facile, bien contré. Condtions plutot turbulentes.</t>
  </si>
  <si>
    <t>Ural</t>
  </si>
  <si>
    <t>Vent de Nord</t>
  </si>
  <si>
    <t>Le piémont se couvrant rapidement depuis le sud, je suis monté à Corbudère depuis le Planot pour accroché Soulan. En effet ça a fonctionné. Mais ensuite plus grand-chose, jusquà un bon thermique presque à l'attéro. Je fis 2000 à Herran du coup je pars vers l'est. Demi tour à Saleich, et posé à Ural. Retour à pieds.</t>
  </si>
  <si>
    <t>Vent d'Est léger</t>
  </si>
  <si>
    <t>Enfin un beau vol. De belles ascendances, un peu de vent d'Esty qui complique les choses, beaucoup de plaisir !!</t>
  </si>
  <si>
    <t>Fête du club.
Laura Sanchez    50kg
Heidi Rivera         60kg
Michel Girodo      80kg
Patricia Camilleri  55kg
Mélodie Rouch    70kg</t>
  </si>
  <si>
    <t>Lana Chotard       35kg
Cedrine Rouch    20kg
Erine Bibas          65kg
Patrice Matray     74kg
Elina Nedjari        60kg
Isaline Bech         67kg</t>
  </si>
  <si>
    <t>Mancioux</t>
  </si>
  <si>
    <t>Année du début du Covid et de ses limitations et autres confinements… Bref pas la super année pour voler.</t>
  </si>
  <si>
    <t>Encore une année de transition, que des vols à Arbas, mais la vie change, maison à Mancioux, arrivée de Natalia et Miguel en avril puis de Réjane en octobre. Pas de voyage… une année pauvre pour le parapente, riche pour notre vie.</t>
  </si>
  <si>
    <t>Acheté à Mumu en octobre 2020 avec environ 140 vols en très très bon état.
Révision chez jean-Marc en jenvier 2022, état général excellent, sauf certaines couleurs de tissus qui sont un peu plus poreuses (rouge). Porosité &gt; 300 sec. Durée restante 70%</t>
  </si>
  <si>
    <t>On part à une dizaine de Cornudère faxce sud, d’où il est très facile de s'extraire. Je fais le plaf à Paloumère avec 2300 et j'arrive en face Est du Cagire. Mais rien. Un peu peu plus bas je me suis battu pendant une bonne demi heure à Plaède, mais ça n'etéiat pas assez fort pour moi. retour facile en 2 stop !</t>
  </si>
  <si>
    <t>J'étais parti pour un plouf de reprise et voolià que ça sort facilement devant le déco. Facile à La Husse aussi ou après un premier plaf à 1700 et une oincursion vers Caoubeich, je fais 1900. Tentative rapidement avortée vers le Cagire&gt;. Je ne trouve rien de rien à Plaède. retour galèe avec une bonne dizaine de kms à pieds !*</t>
  </si>
  <si>
    <t>Temps couvert, très froid. Les autres réissieenet à tenir, mais pas longtemps à cause du froid, moi je ne trouve rien.</t>
  </si>
  <si>
    <t>On monte à Cornu avec denis, Déco fgace sud, ensuite ça passera nord. Beau vol malgré le frroid, bien cosatud à certains moments, 2 belles grosse fermetures avec début de dépaert en autorit !</t>
  </si>
  <si>
    <t>A/R au Pic du Gar avec de l'Est qui m'a rendu compliqué le retour.</t>
  </si>
  <si>
    <t>Rook 3 MS</t>
  </si>
  <si>
    <t>Genos</t>
  </si>
  <si>
    <t>Du vent de NE rend les conditions désagréable. Passage à l'Estos, puis Station Peyragude, Mont et retour.</t>
  </si>
  <si>
    <t>Très beau vol, conditions parfaites, voile remarquable. Passage par le Pic de Sarrouye, puis Estos, transition vers la face nord de Pichadère, et après un passge bas du coté du Val d'Esquierry, passage par le Hourgade, ensuite plus classique, et retour par le Pic du Lyon.</t>
  </si>
  <si>
    <t>Sortie très facile, mais plaf un peu limite. Je renoue avec les photos. Grand moment avec un vautour. Passage à l'Estos par la face nord, quand même engagé, pas trop le droit à l'erreur ! Par contre, c'est grandiose de se coltiner avec cette face.</t>
  </si>
  <si>
    <t>Essai 2 Sigma11</t>
  </si>
  <si>
    <t>Essai 1 Sigma 11</t>
  </si>
  <si>
    <t>biplace</t>
  </si>
  <si>
    <t>Sigma 11 - 24</t>
  </si>
  <si>
    <t>Sigma 11</t>
  </si>
  <si>
    <t>85 / 97</t>
  </si>
  <si>
    <t xml:space="preserve"> 3/4/3</t>
  </si>
  <si>
    <t>Reprise … encor une ! Sans vario qu'il va bien falloir changer ! Des hats et des bas dans des conditions un peu toniques. Mais globalement bon vol !</t>
  </si>
  <si>
    <t>Bi avec Quentin</t>
  </si>
  <si>
    <t>Bi avec Quentin depuis Herran à l'occasion de la commémoration de Michel Belaygues</t>
  </si>
  <si>
    <t>Sud-ouest fort en altitude, quasi pas d'ascendence</t>
  </si>
  <si>
    <t>Sud-ouest léger en altitude, tout Arbas donne super bien.</t>
  </si>
  <si>
    <t>1er vol de référence avec la Sigma11 qui est … parfaite. Jene lui trouve aucun défaut. Du coup je vais l'acheter à Thierry.</t>
  </si>
  <si>
    <t xml:space="preserve">Fête du club, </t>
  </si>
  <si>
    <t xml:space="preserve">Avec Quentin, juste après un fort coup de sud de 3 jours, le matin il y avait encore 30/40 de sud à Cornu. </t>
  </si>
  <si>
    <t>Je vole juste après Quentin dont c'est le 1er vol. Même pas vraiment d'émotion, aucun stress, comme quoi la confiance…</t>
  </si>
  <si>
    <t>Joli balade avec un peu de turbulences, va falloir s'en occuper de la Sigma11 ! Mais qu'est-ce que ça vole !</t>
  </si>
  <si>
    <t>Bon choix pour le creneau de decollage, comme quoi les prévis, ça a du bon. Cette Sigma 11 est étonnante, certes ça vie et il faut s'en occuper, mais que de belles qualités de vol. 
Après la Husse un peu sous le vent, je raccroche aux Iriguades et peu à peu je remoonte jusqu'à Herbes Blanches, sûr que je n'aurai pas réussi avec la Névada. Ensuite d enouveau un tout en plaine du coté de Chein Dessus où miracle je trouve une ascendence.Cette Sigma 11 m'pouvre de nouveau horizons. Super !!!</t>
  </si>
  <si>
    <t>Achetée neuve à Surfair en sept 2022, 4070 euros, un sacré joli cadeau !</t>
  </si>
  <si>
    <t>Mponté à pieds avant le vol en 1h05, la forme revient.
Je profite de l'expérience d'hier et après un passage à la Husse, puis le Mountagnat, je transite vace la crête Relais/Herbes blanches. Bien m'en prend, peu à peu je rejoins Hrbes Blan,ches. Les conditions sont propoices à tenter l'Estelas, que j'atteins après un thermique dans la combe Ouest du massif. et que je retrouve après un A/R jusqu'au relais. Le retour est facile, même si je n'arrive pas à faire les beaux plafs que d'autres font au relais.</t>
  </si>
  <si>
    <t>Quand je suis arrivé s'était Nord contrairement aux préis qui me faiaient espérer décoller en Sud. Du temps de me préparer, il y a eu 2 passage scoté Sud. Du coup j'y suis allé. Mal m'en pris, après un déco raté qui a failli tourner mal, du temps de remonter vers ma voile, un dust a pris ma voile et je me suis fait trainer sur 3/4 m, juste de quoi taper du genou dans un rocher.
Momralité, j'ai eu de la chance, beaucoup de chance !*</t>
  </si>
  <si>
    <t>Espagne Nord</t>
  </si>
  <si>
    <t>Ager - Gabriello</t>
  </si>
  <si>
    <t>Flux de Sud Est</t>
  </si>
  <si>
    <t>Ce sera le vol de l'année. Décollage du Gabriello dans des conditions un peu marginale avec une forte tendance est, je commence par merder avec un gros point bas parceque je me bagarre avec mon matos, vario éteint au déco… Ensuite je réussi à rejoindre le gros de la troupe et coup de chance, quand je les rejoins, l'ascendance s'arréte et en décallant un peu sur l'arrière j'arrive à raccorcher de petits thermiques qui me font peu àpeu rejoindre jean et Thierry sur la barre rocheuse supérieure. Là trop facile, même si contré par 10/15 d'Est, on va jusqu'au bout de la Sierra, ascendance jusqu'au nuage, même un peu dedans.... on revient à trois, on refait un A/R en attendant les parapotes qui reviennent au Gabriello pour un second vol, photos, vautours, coucher de soleil, tout y est pour un vol grandiose&gt;.</t>
  </si>
  <si>
    <t>ager - Mt Elis</t>
  </si>
  <si>
    <t>Un peu holdup celui là de vol, en sortant du déco de St Elis, je me colle au relief à gauche et un peu contrée mais suffisamment serien, je chemine vers l'Est. Ca monte doucement tout le temps, jusqu'au bout de la Sierra, souvcent un peu bas et proche des falaises pour etre vraiment serein, mais ça va et pas de mauvaise surprise. Des vautours partout et la sarisfactiobn d'être le seul du jour à faire ce vol. La Sigma y est pour beaucoup dans cette réussite, plané, finesse, vitesse, solidité, confiance, quel bon choix.</t>
  </si>
  <si>
    <t>ager -g</t>
  </si>
  <si>
    <t>Arrivée de la perturbation par le SO</t>
  </si>
  <si>
    <t>Sud Ouest en altitude</t>
  </si>
  <si>
    <t>Enfin une vraie montée rando depuis l'attéro jusqu'à Cornu … avec un sac léger et sans secours…. Début difficile poyr se réaclimater avec la sellette et la Névada. En fait j'ai enfilé la sellette à l'envers du coup, j'étais tout coincé. En A/R sur la crête sud de cornu, puis route jusqu'à Herbes Blanches par la face sud qui redonne régulièrement, plus de 1800 depuis Piscatel . C'est la 1ere fois que j'ai cette vue sur la vallée de Castillon. Ca donne envie de continuer, mais entre l'incofort de la selletrte, le son du vario qui m'agresse et le froid, je préfère aller posé. J'ai du faire le bon chgois, Olivier Grimoux n'a pas réussi à revenir de l'Estelas.</t>
  </si>
  <si>
    <t>Finalement il y avait un voile qui a rédit le vol à un plouf, tout de douceurs.</t>
  </si>
  <si>
    <t>Névada 2 -24</t>
  </si>
  <si>
    <t>Léger flux d'Ouest</t>
  </si>
  <si>
    <t>Gonflage à Paris les Près 1h envron</t>
  </si>
  <si>
    <t>Déco à 490</t>
  </si>
  <si>
    <t xml:space="preserve">Voiture laissée à Labaderque pour cause de route verglacée. Montée 2/3 à pied, 1/3 en stop. Déneigeage de 2 pistes de décollage. Seul montent Vincent Raja et Jean-Marc Duché. Pourtant belle journée pour voler. Petit thermique devant le déco, un peu mieux à Bourrus, transition à Soulan, difficile d'atteindre 1200, repassage à bourrus pour la pompe à Cham ou ç fonctionne bien, direction les Hirriguades, petit thermique, mieux sous le vent du relais et franchement bien à l'est du relais, plaf du jour à 1335m. du coup transition vers Le Thousas ou je dois m'y reprendre à 2 fois avec un point bas à 730 m pour réussir à remonter à 1100 environ, retour en passsant au dessus de Bataille puis le bas de Soulan. Evidemment il faisait froid, mais avec les chaufferettes dans les gants ça allait. </t>
  </si>
  <si>
    <t>Sigma 11 24</t>
  </si>
  <si>
    <t>Montée à pied en 1h20, pas mal avec de la neige sur le haut, mais pas la super forme;… l'impression de peser 2t… enfin76 kg !Vol assez classique mais turbulent. Content d'avoir réussi à aller jusqu'à Herbes Blanches.</t>
  </si>
  <si>
    <t>Le Relais</t>
  </si>
  <si>
    <t>Une éternité que je n'avais pas volé du relais. Bien sympa de sortir avec le thermique de service. En plus sans vario … mais bien aidé par les zozios en tous genres dont les vautours dont on se demande d’où ils viennent ….</t>
  </si>
  <si>
    <t>Des nuages bas ont retardés le début de vol. Je décolle en 1er et atterrirai en dernier. Début bien difficile à Bourrus où je lets un temps fou à d'abord m'accrocher puis peu à peu à sortir. A 1000m, transition vers Soulan, à partir de là tout est plus simple.</t>
  </si>
  <si>
    <t>Millas</t>
  </si>
  <si>
    <t>Jour funeste, vol balistique juste pour être en l'air ce jour là.</t>
  </si>
  <si>
    <t xml:space="preserve">Tout de suite beau plaf à la Husse, Michel Delahuerta est déjç parti vers le Cagire, je suis. J'arrive à Plaède alors qu'il s'extrait, j'en profite. Il repart vers Arbas, je vais au col des Ares et retour. Dommage, on échoue tous au retour au Picon, il aurait fallu tenter de passer pas devant Sengouagnet pour tenter de raccrocher les faces nord de </t>
  </si>
  <si>
    <t>Les plafonds baissent mais, une fois bien positionné à Herbes Blanches, je transite vers l'Estelas ou je réussi à percer la couche d'inversion et avec les 1750, je glisse jusqu'à Montastruc et retour à Soulan pour un dernier tour par Pènne Blanque. Un vrai plaisir ce vol... Les sensations reviennent peu à peu... Youpi.</t>
  </si>
  <si>
    <t>Secours sellette Swing puis Supair Evolite</t>
  </si>
  <si>
    <t>Aéré, replié le 08/03/2020
Aéré, replié le 05/03/2023</t>
  </si>
  <si>
    <t>Secours avec conteneur ventral pour montagne</t>
  </si>
  <si>
    <t>135-180
Max 200</t>
  </si>
  <si>
    <t>Aéré, replié le 08/03/2020
Aéré et replié le 05/03/2023</t>
  </si>
  <si>
    <t>La tour d'Ausseing</t>
  </si>
  <si>
    <t>1er vol à Ausseing, il y a forcément du potentiel; mais c'est élitiste</t>
  </si>
  <si>
    <t>Reprise du bi avec Quentin, Bon déco, bon attéro, conditions de vol trop remuante, Quentin est malade rpidement</t>
  </si>
  <si>
    <t>Vallée de Nistos</t>
  </si>
  <si>
    <t>Flux d'Ouest avec vent de NE ?</t>
  </si>
  <si>
    <t>Commencé sans trop de moral à cause du vent d'Ouest à Cornu, le vol se termine très bien avec un passage à la Husse, puis par le col de Larrieu.</t>
  </si>
  <si>
    <t>1er vrai cross depuis longtemps, il me semble à etre le seul à avoir réussi/osé sortir du site. Faut dire décollé avec Michel Delahuerta et Trhierry D. avant tout le monde, j'ai la chance de sortir direct du déco jusquà 2000? De là 2320 au sud de Paloumère et ça s'enchaine facilement et rapidement jusqu'au col des Ares. Bien aidé  par de l'Est à 5/10 kmh. Un gros voil me fait hésiter à contrinuer vers l'Ouest mais le vent météo me fait rechigner à entamer le retour. Du coup, après un bon plein su coté de Galié / Mt de Galié, je traverse la Garonne et arrive jusqye à la bonne hauteursur le coté Est du Sacqueton/Tourroc. Ensuite Pic de Picarre, puis avant la vallée de la Neste, je fais demi tour à Pène Haute. L'autre coté est à l'ombre, le voile s'épaissit rapidement et d'aileurs me rattrapera rapidement alors que je tente le retour ... vainement, trop contrée, je ne trouve pas le thermique qui m'aurait peut-être permi de raccorcher au Sacqueton.
Beau vol, rapide, efficace, peut-etre un peu trio rock and roll du coté du Pic de Picarre.Niveau 4/4 ! Au delmà je ne suis pas sûr de savoir maitriser ...*</t>
  </si>
  <si>
    <t>Entre 2 passages de voiles d'altitude. Plutot toniques en étant agréable. Beau passage de Piscatel à Herbes Blanches, dommage que je rate le retour. D'abord tenté par l'Estélas, je dévie rapidement vers la borne 110, ne trouvant iren j'ai pris la direction du relais. Mais un écobuage à Fougaron surveillé par des drones des pompiers m'inquiétant, j'ai forcé vers les Irriguades. Rapidement sous le vent et dans des dégueulantes j'ai bien failli ne pas reven,ir à Arbas. Heureusement que j'ai trouvé un petit quelque chose qui m'a permis de me refaire et de rentrer proprement...</t>
  </si>
  <si>
    <t>Flux en Sud Ouest avant arrivée dépression</t>
  </si>
  <si>
    <t>yer d</t>
  </si>
  <si>
    <t>J'ai voulu monté avec du lioght ppour la face sud de Cornu. Erreur. J'ai avorté un déco pas bien emmanché du tout coté sud, du temps de dégager la voile des kékés, de passer coté nord, j'étais en nage sous mes couches d'habits. Du coup j'ai fait le vol trempé et ... frigorifié. Par contre, j'ai un peu ouvert la route vers le sud, par kle col de Portet d'Aspet ver sle Puech (il y a un bassin pour l'eau sur le sommet.  Une prochaine fois, il faudra tenter de continuer face au vent, pour essayer de rejoindre la crête Est/ouest de la Calabasse. 
Par contre avec un plaf à 3600m jai emplafonné la LTA Pyrénées qui est limitée à 3500.
Retour vent de dos (SO) jusqu'à Cazavet puis de nouiveau vent de dos (NE) jusqu'à Relais/Arbas.</t>
  </si>
  <si>
    <t>Pas très agréable, dominante ouest trop marquée</t>
  </si>
  <si>
    <t>Début très pénible, un premier point bas au pied de Bourrusse, quasi à se poser, un deuxième au bas de Soulan, ensuite je trouve le rythme et ça fait un beau vol quoique turbulent. Passage à Paloumère (j'aurai du partir vers le Cagire… tant pis), balise à l'Estelas, (j'aurai du partir plein ouest avec michel Delahuerta qui va à Labastide Sérou, mais je réalise quand même un beau triangle de 30 kms qui n'atait vraiment pas gagné au début du vol. Et puis cette tendans nord etait trop marquée pour que ce soit un vol plaissant. UN super bon point pour la Sigma 11 qui s'est bien fait secouer les plumes mais sans fermeture catastrophique. Décidément quelle voile !</t>
  </si>
  <si>
    <t>Le vol qu'il ne fallait pas faire. Déco de St Hilaire, branche jusqu'au fort de St Eynard, cacsades d'incidents et secours un peu après le début du retour au niveau de la Sappey en Chartreuse. Aucun bobo, fin dans un arbre, descendu seul et récup de la voile le lendemain en coupant 2 arbres.
Ajout réflexion en fin d'année. Suite réunion sécu CDVL 31, en particulier sur le fonctionnement cérébrale, je suis presque sur d'avoir subi une phase de viscosité mentale, heureusement qu'il y avait assez de hatuteur sol pour que je réagisse (aidé aussi par un parapentiste à proximité qui m'a crié "Secours") et que le secours fasse éffet. Finalement, j'ai fait ce qu'il fallait, dans une situation qui ne me serait probablement pas arrivé sous la Névada. Depuis, j'ai vendu la vario Syride Evo et la sellette cocon. Dommage que la voile n'est pas été vendu... (finalement vendue 1600 euros)</t>
  </si>
  <si>
    <t>Comme la veille, mais pire, début catastrophique et je n'arrive à sortir à la Husse qu'après la 3ième tentative et 1h de vol. Pendant ce temps là, JeanSeb et Vince sont au pied du Cagire et ils y galèrent. Du coup, comme il y a de l'ouest, je pars pour un vol dans le bocal en direction de Cornudère ou il y a Eric, que je n'arrive jamais à rattraper, toujours plus haut, toujours devant. Finalement au Mountagnat, on est ensemble au plaf et lui repart vers Piscatelle, moi vers les Iriguades. Bien m'en a pris, une fois quitté le bocal, ce sera facile jusqu'à Foix. 1ere fois que je vais à Foix. Je pensais en vol être super prudent en restant sur les avants reliefs, toujours proche de la route St Girons-Foix, je verrai plus tard que tout le monde passe par là. Peut-être aurais-je du pour l'arrivée aller du coté de Ganac  pour être au vent, la zone ou j'atteris étant sous le vent d'un relief, mais quand même assez loin et sans conséquence.7</t>
  </si>
  <si>
    <t>Une bonne reprise avec Quentin, grosse chance de partir en tout dernier, les copains s'étant quasi tous fait enterrés à cause de la tendance ouest. Dommage que ce soit trop trubulent, mais un bel A/R sueper facile à Herbes Blanches.</t>
  </si>
  <si>
    <t>Cette fois, après un thermique à Bourrus, on est trop contré pour aller à Soulan. Vince et Jean (Surfair) ne restent pas longtemps en l'air non plus, ils trouvent la masse d'air un peu triop étrange.</t>
  </si>
  <si>
    <t>Flux de N 10/15 kmh</t>
  </si>
  <si>
    <t>Flux de nord faible</t>
  </si>
  <si>
    <t>Vent de nord trop fort, vol turbulent en local uniquement, bloqué coté Cagire autant que coté Estelas. Pourtant Sammy Gallégo fait 110 kms de Gensac à Quillan, avec 15/30 aux balises environnantes…. Chapeau.</t>
  </si>
  <si>
    <t>Craigant que ça ce ferme rapidement je décolle tot et après un joli passage au nord de la Husse je m'enterre au Toas. Trop tot, Vincent, Thierry qui feront un second vol sur la plaine iront jusqu'à Mane.</t>
  </si>
  <si>
    <t>Izaourt</t>
  </si>
  <si>
    <t>Vent d'Est en basse couche</t>
  </si>
  <si>
    <t>Certes c'est un  cross et même un parcours inusité pour moi, mais il y avait trop de vent d'Est et beaucoup trop de turbulences, j'atais à 4/4 dans mon échelle de rock and roll…. Vivement une journée plus calme et de belles conditions météo !</t>
  </si>
  <si>
    <t>Beaucoup de travaux à la maison de Mancioux avec l'aménagement de l'appartement de Réjane. Je me suis bien rattrapé après l'été mais il a manqué de vols mémorables.</t>
  </si>
  <si>
    <t>Castagnède</t>
  </si>
  <si>
    <t>Vent de SO fort au dessus de 2000, tendance NO en dessous</t>
  </si>
  <si>
    <t>Nous ne somme que 4 au déco, les prévis de SO ayant découragé tout le monde, pourtant les balises sont basses et en effet, à part de NO, les conditions sont bonnes et calmes. Après un plaf à 2000 à la Husse, j'ai tiré tout droit vers St Girons, mais je n'ai plus rien trouvé ... Vol agréable, doux après ceux du début de semaine ça fait du bien.</t>
  </si>
  <si>
    <t>Du vent de NE de nouveau, de nouveau turbulent, plafonds bas, beaucoup de copains se posent rapidement. Pourtant, peu à peu, les conditions s'améliorent et c'st en fin de vol que le dernier tour du bocal en compagnie de Thierry, donnc toute la substence de ce vol finalement très bien dont un beau thermique du coté du déco M. Belaygues qui ma fait dérivé un peu cotè sud. Très chouette.</t>
  </si>
  <si>
    <t>Comme souvent c'est la fin du vol qui a été la plus plaisante avec une belle avancée jusqu'à la colline au dessus de la pente école de Surfair, …., peutèêtre qu'un jour je saurai aller à Mane ? Mais je suis content car il a fallu que je me refasse sur la crête au nord du relais pour pouvoir rentrer, pour une fois je suis sortie de la finesse du retour terrain. Je progresse !
Et après ce beau vol, j'ai eu l'énerfgie pour monter à pied et avec Rio chercher la C15 au déco. 1h15 ... doit mieux faire !</t>
  </si>
  <si>
    <t>Barrat</t>
  </si>
  <si>
    <t>Léger flux de Nord</t>
  </si>
  <si>
    <t>A 1500 à la Husse, je ne me sens pas capabme de partir vers l'Ouest. Pourtant, Xavier Laporte le fait, passse par la Cagire, revientdu coté de Paloumère, file vers la chaine, passe au Vallier et boucle un triangle de 86 kms. On est nettement pas du même monde. Moi en local, j'ai trouvé les conditions turbulentes et encore une fois, quand je m'aventures vers Castalebiague/Montastruc, je ne trouve rien que je puisse exploiter. Vivement des conditions à mon niveau pour profiter d'un vrai beau vol !</t>
  </si>
  <si>
    <t>La Coume - Rocépy</t>
  </si>
  <si>
    <t>Décidémment du vent toujours du vent. Du coup l'idé était de partir plein Ouest, mais au col du Ho, je suis très bas et je suis obligé de revenir vers l'Est pour me refaire. Ce que j'arrive à faire, mais je n'ai pas assez de motivation pour me lancer dans la traversée de la Garonne, du coup je tente le retour à Arbas. Ca ce passe à peu près bien sauf à partir de Paloumère ou je suis trop contré par l'Est et je pose àa la Coume ou Pas de l'Ane, le bien nommé. J'ai fais les 2 derniers kms depuis Paloumère à finesse 5 avec des varios plutot corrects, mais vraiment trop de vent. Thierry S. me voyant en difficulté passera par Caoubeich et le nord de Pène Nère, mais de son propre aveu, c'était osé !
Vivement des conditions plus facile....</t>
  </si>
  <si>
    <t>Recyckage Biplaceurs Profil avec Laurent Pradères à la pente ecol de Moulis.</t>
  </si>
  <si>
    <t>Relais</t>
  </si>
  <si>
    <t>Le plafond restant désepéremment bas, on décide de décoller du Relais. Juste un peu d'air. Je lache mes avants trop tôt, pas de de tempo. Attéro assez bien, mais avec les commandes prisent en poiognée, impossible de "percer" et d'arreyter complétement le bi</t>
  </si>
  <si>
    <t>Un peu mieux coté accompagnement des avants, mais pas de tempo. Quelques exrcicespour Quentin. Attéro impeccable</t>
  </si>
  <si>
    <t>Déco, mieux, mais toujours pas vraiment de tempo/contrôle. Vol thermique dot une partie par Quentin. Attéro impeccable…. Au moins ça je maitrise.</t>
  </si>
  <si>
    <t>Gin Fuse</t>
  </si>
  <si>
    <t>Prise en main Fuse avec Sophie</t>
  </si>
  <si>
    <t>Pas une grande réussite ce bi avec Sophie, on a pas réussi à s'extraire, les conditions etaient maigrichonnes</t>
  </si>
  <si>
    <t>Parti avec Denis, on se jette un peu n'importe comment vers le col de Larrieu, il pose assez rapidement. De mon coté, sortie épique depuis le bout de la crête du Toas coté Rouède. Un grand moment de plaisir de pilotage à gratter dans du pas grand-chose.</t>
  </si>
  <si>
    <t>Toujours des conditions maigrelettes. Parti quasi en dernier du groupe et vu la couverture nuageuse sur Bourrusse/Soulan, je pars directement vers les Irrigaudes. Bien m'en prend puisque j'arrive à m'en sortir et je vais vers Mane puisque seule la plaine est ensoleillée. Je butte contre trop de brise du coté de la pente école de Thierry à Castelbiague. J'arrive une pau par miracle à revenir vers le relief qui va jusqu'au relais et je glisse peu à peu vers Arbas. Je me pose juste avant le village il me manquait qques dizaines de mètres. Vol déprimant !</t>
  </si>
  <si>
    <t>Lacave</t>
  </si>
  <si>
    <t>D'avoir raté mon 1er déco, je suis parti au bon moment. En effet, en sortant du déco, j'ai vu Bourrus tout à l'ombre et Fred qui galéré et qui d'ailleurs est allé se poser. Du coup, je suis parti vers l'Est et j'ai trouvé une ascendance sympa au dessus de Labaderque. J'ai filé vers les seuls endroits encore un peu au soleil, Càd Les Irriguades et j'ai de nouveau trouvé de quoi monter. Sentant une tendance Ouest assez prononcée, je suis parti vers l'Estelas. Bien m'en a pris, j'ai retrouvé quelque chose et après un passage au dessu du déco de Cazavet, j'ai commencé à me rapprocher de la plaine. J'ai fini quasi au dessus de l'aérodrome d'Antichan. J'ai alors commencé une espèce de retour, face au vent de NO. Dur !!! A perine 25/30 kmh et des thermiques bien couchés. J'ai quand même "survécu" comme ça jusqu'à Lacave, entre Prat Bonrepeau et His. Finalement ça m'a fait un bien joli vol et une belle expérience en plaine face au vent.</t>
  </si>
  <si>
    <t>Urau</t>
  </si>
  <si>
    <t>Avec Max, fils de Yann Aubertin</t>
  </si>
  <si>
    <t>Montgaillard</t>
  </si>
  <si>
    <t>Enfin un peu de plaine au départ du Planot vers Mane. Dommage que je ne fasse pas mieux !</t>
  </si>
  <si>
    <t>Avec Quentin qui enroule de son coté à Bourrus alors que je vais un A/R à Soulan.</t>
  </si>
  <si>
    <t>Loudenvielle</t>
  </si>
  <si>
    <t>Quentin a fait 2 vols avant, du 300 et du 600. On sort facilement un petit A/R sur la crête vers Arreau, On repasse par le déco pour aller vers la station et le rocher des vautours. On tente et arrête une transition vers Peyragude, on revient vers le déco, mais il est trop tard et la brise a pris le dessus, plus moyen de sortir.</t>
  </si>
  <si>
    <t xml:space="preserve">Enfin un beau vol cette année. Arrivé tard pour cause de rdV medcical de Réjane, je décolle finalement a bon moment quand les nuages se dispersent. Des A/R d'un coté à l'autre, Pène Nère, Herbes Blanches, et pour la 1re fois je vais presque à Mane, Poetrie Clarous, et retour. </t>
  </si>
  <si>
    <t>Vol écourté pour aller débrancher Cédric sous Bourrusse.</t>
  </si>
  <si>
    <t>360 à -8</t>
  </si>
  <si>
    <t>Wings pluot bien appuyés.</t>
  </si>
  <si>
    <t>Essai de fermeture asymétrique, droite et gauche, maintenu à gauche. La voile est très facile à géfrer elle dérive, glisse vers le coté ouvert.</t>
  </si>
  <si>
    <t>Avec Charlotte, ex belle sœur de Ricau et donc tante de Lucia</t>
  </si>
  <si>
    <t>Avec Sophie</t>
  </si>
  <si>
    <t>M. Bellaygues</t>
  </si>
  <si>
    <t>Plus à l'aise que le vol précédent, mais que d'engagements sur ces vols en montagne. Mais perché à plus de 4000 au dessus du Perdiguères, la vie à une sacrée saveur.</t>
  </si>
  <si>
    <t>Sortie rapide et vue le plaf, 3800, je pars directement vers Espiaube ou je reprenbds peu à peu vers le Pic d'Arrouye</t>
  </si>
  <si>
    <t>Retour de Val Louron ou le sud rentre. Vol assez difficile au début et de plus en plus facile au point qu'inquiet des cumulus au sud, je préfère aller poser</t>
  </si>
  <si>
    <t>Geni X Lite</t>
  </si>
  <si>
    <t>165-175</t>
  </si>
  <si>
    <t>Une tendance NO et pas mal d'instabilité donne un vol assez mouvementé, disons 2/4 dans mon échelle. Passage sympa à la Husse avec le tour de Pène Nère. Et après un passage au relais, cap l'Estelas depuis Herbes Blanches. Beau plaf qui me permet de rentrer plutot bien placé, du coté du hameau à l'Est du relais.</t>
  </si>
  <si>
    <t>Avec Jan-Seb on apu décoller en face sud, mais pas de quoi sortir. Et coté nord c'était la panade.</t>
  </si>
  <si>
    <t>Largeur ventrale</t>
  </si>
  <si>
    <t>Longueur dos</t>
  </si>
  <si>
    <t>Position secours</t>
  </si>
  <si>
    <t>Protection</t>
  </si>
  <si>
    <t>Poche lest</t>
  </si>
  <si>
    <t>Type (planchette. Hamac)</t>
  </si>
  <si>
    <t>Prof. assise</t>
  </si>
  <si>
    <t>Arrow</t>
  </si>
  <si>
    <t>Mousse sous cutale + dos</t>
  </si>
  <si>
    <t>Assise/couché</t>
  </si>
  <si>
    <t>Ligthness 3</t>
  </si>
  <si>
    <t xml:space="preserve">Kortel </t>
  </si>
  <si>
    <t>Néo</t>
  </si>
  <si>
    <t>Weightless</t>
  </si>
  <si>
    <t>ABS (Class. En V à cuissardes</t>
  </si>
  <si>
    <t>Skywalk</t>
  </si>
  <si>
    <t>Delight 4 sport</t>
  </si>
  <si>
    <t>Suspender 2</t>
  </si>
  <si>
    <t>Kolibri EVO</t>
  </si>
  <si>
    <t xml:space="preserve">Supair </t>
  </si>
  <si>
    <t>Strike 2</t>
  </si>
  <si>
    <t>Range X-Alpes 3</t>
  </si>
  <si>
    <t>Sans</t>
  </si>
  <si>
    <t>155-172</t>
  </si>
  <si>
    <t>40-48</t>
  </si>
  <si>
    <t>MCC Aviation</t>
  </si>
  <si>
    <t>SOS micro BI</t>
  </si>
  <si>
    <t>Bi</t>
  </si>
  <si>
    <t>Max 210 kg</t>
  </si>
  <si>
    <t>Neuf acheté chez Surfair 932 €
SN 2855-32-0659</t>
  </si>
  <si>
    <t>Casque Pilot cosmos</t>
  </si>
  <si>
    <t>Acheté neuf chez Surfair 115  €</t>
  </si>
  <si>
    <t>Après une sortie difficile de Bourrus, beau tour de bocal + A/R à l'Estelas avc un retour par Herbes Blanches.</t>
  </si>
  <si>
    <t>A 1700 à la Husse, je tente le Cagire, suivi par Samy et Victor, mais nous n'arrrvions pas à sortir de Plaède. Je tnet le tour du relief et peut-être qu'au dessus de Juzet c'est jouable. A réessayer.</t>
  </si>
  <si>
    <t>Milhas</t>
  </si>
  <si>
    <t>Difiicile tout le long, en particulier au pied du Cagire ou Mitch ne ressort pas, et surtout au retour ou après avoir été longtemps planté au Picon, j'échoue d'un rien devant le Col de la Husse. Après débrieffing avec Syvlain Gatini, j'ai visé la mauvais passage, j'aurai du aller sous le vent du Pic de la Husse, je ne lme serai pas fais enterré. Tant pis, une fois la frustration passée, ça reste un sacré beau vol</t>
  </si>
  <si>
    <t>Fête du club Profil</t>
  </si>
  <si>
    <t xml:space="preserve">Fête du club Profil : 
Natha,
Je t’avais emmené voler en parapente il y a quelques années, je ne savais pas,
Tu n’es pas un garçon ordinaire, en fait je ne sais pas grand-chose de toi.
Hier soir, je t’ai vu et je t’ai proposé de voler de nouveau. Tu m’as répondu, oui.
On a fixé le programme, décoller, monter, se donner des sensations, peut-être 10 minutes, peut-être plus, on était d’accord.
On s’est élancé, avec un peu de chance on est monté, au plus ça bougeait, au plus tu aimais.
On est allé où c’était pas gagné, on s’est fait un peu secouer, à chaque fois que je t’ai demandé si ça allait, tu m’as répondu « Oui ». Juste : Oui
J’ai aimé cette simplicité, oui, non, je connais, j’aime, ou pas …
Pas de filtre, pas de faux semblant. Une forme de pureté.
On aurait pu passer le reste de notre vie, à monter, descendre, se faire secouer, se déplacer, voler.
On est pourtant revenu sur terre, non sans nous donner le maximum de sensations que je pouvais.
A droite, à gauche, plus haut, plus fort, plus puissant, rien ne te gênait, tu appréciais tout.
Si j’avais su le faire, nous nous serions offert des figures, plus fortes, plus extrêmes, plus violentes.
Je ne suis qu’un pilote normal, j’ai fait tout ce que je pouvais. Je devais aussi te ramener à ceux qui t’aiment, j’ai fait ce que je savais faire, pas plus, pardon.
Nata, tu m’as donné mon plus beau vol en biplace, autant d’émotions je n’en avais pas connu.
J’espère que tu as eu aussi du plaisir, en fait j’aimerai que tu es eu beaucoup, immensément de plaisir, je ne le saurai jamais, pas grave, j’ai fait tout ce que j’ai pu, j’ai respecté notre plan de vol, décoller, monter, se donner des sensations.
Merci Natha, à bientôt.
</t>
  </si>
  <si>
    <t>Avec Quentin, impossible de tenir à Bourrus, alosr on s'envoie quelques figures;</t>
  </si>
  <si>
    <t>C'était pas plus mal que ça ne tienne pas, vers 15h une belle entrée de sud à l'attéro.</t>
  </si>
  <si>
    <t>Pas facile sous 1100m, dynamique et un peu agité au dessus, pas de Sud, plutot du NO jusqu'au plaf à environ 1750. Beau passage entre le Relais, l'Estelas et retour.</t>
  </si>
  <si>
    <t>Efficace et rapide, passage à la Husse, Moutagnat, Erigade, encore un cum sur la colline au dessus de la pente école, et puis plus rien jusqu'à la Poertie Clarous.</t>
  </si>
  <si>
    <t>Révision déc 2018 après 140h. Quelques retouches de calage. Drisses inferieures de frein changées. Durée de vie, 72% restant.
-----------------------------
Révision 30/06/2020 à 210h. Tout en TBE, Porosité &gt;300s, Déplacement global du centre d'attache de 39mm. Recalage léger de quelques suspentes.
Durée de vie restante 75% ou 300h.
----------------------
Révision chez Jean-Marc en janvier 2022, à 300 heures. RAS. Porosité &gt; 300s Tissus impeccable, quelques retouches de calage. Par contre, le constructeur préconise le remplacement du suspentage  au bout de 5 ans ou 350heures. A voir en fin de saisosn. Durée de vie restante 70%
-----------------------
Révision chez Jean-Marc le 30/09/2023 à 340 h avec test rupture suspente. tout est ok, la voile est bonne pour encore longtemps</t>
  </si>
  <si>
    <t>Flux de sud rendant le vol désagréable, limite malsain.</t>
  </si>
  <si>
    <t>En compagnis de Quentin.</t>
  </si>
  <si>
    <t>Enfin de belles conditions qui permettent un très beau cross de 70 km, le triangle FAI de Michel D. par Espiaube - Grand Quayrat - Mt Né. Un grand régal en compagnie de Gd Mitch qui fait mieux que moi de qque centaines de mètres, de Jean-Marc que j'aide bien et qui me quitte au dessus du Val d'Aube, de Sophie qui reste plus dans le bocal mais qu'on retrouve perchée à 3200 au cap des Hittes, de Pascal Caunègre, d'Hervé Belloc ... vraiment un super vol.</t>
  </si>
  <si>
    <t>Pas facile de reprendre la Névada, elle bouge dans tout les sens. Mais au bout de peut-être 1h, ça allait mieux et j'ai même réussi à aller à l'Estelas et … revenir. C'est la 1ere fois que je reviens si bas. En plus ça bougeait pas mal !</t>
  </si>
  <si>
    <t>Espagne Algodonales</t>
  </si>
  <si>
    <t>Poniente</t>
  </si>
  <si>
    <t>Ca faisait bien longtemps que je n'étais pas monté à Cornu depuis Arbas avec le matos sur le dos. J'avais des craintes, mais ça c'est bien passé. 2h30 comme avant. Par le Planot, pour le soleil du matin.
Habillemant, pantalon léger pour la montée, + un collant pour la bas, teeshirt à mancge longues, polaire, veste corparate Profil et la combinaison par dessus. Gants chauffants, Cagoule + bionnet+ casque. J'au fini par avoir froid au dos, à améliorer la prochaine fois. Comme dh'ab, des crampes à l'interieurs des cuisses en vol, les limites de la fatgue et de la sellette Kruyer.</t>
  </si>
  <si>
    <t>Waouoh ! Un super beau vol !!! Quantin décolle avant moi, face sud, il trouve le thermique sur la gauche alors qu'il pensais basculer coté Nord. Je décolle rapidement derrière lui, du temps de me préparer. Ensuite je suis toujours à la traine derrière lui, il est à Piscatelle alors que je reviens d'un tentative infructueuse coté Ouest, il est en route vers Herbes Blanches alors que je rame à Piscatelle, enfin je le rattrape un peu avant Herbes Blanches. Je l'mmène au relais via les Irrigades, seul il n'y serait pas allé. On se refait une dernière fois au relais et on rentre. Tout parfait, on ne voudrat que des vols que celui ci !</t>
  </si>
  <si>
    <t>Ptite reprise avec Quentin</t>
  </si>
  <si>
    <t>Ah, cette fois les conditions sont là. J'ai la chance de persévérer à attendre coté sud, et je trouve un petit créneau pour décoller. Seuls Sébastien et Quentin réussiront. De bons thermiques coté sur m'emmenent jusqu'à Paloumère et meêm si vers le plaf c'est un peu étarnge, ça fait un beau dernier vol pour 2023/</t>
  </si>
  <si>
    <t>2022 21h de vol.
2023 112 h de vol
Révision 30/09/2023 chez Jean-Marc. Tout ok, sauf une suspente abimée (par frottement ?) qu'il a changé.</t>
  </si>
  <si>
    <t>En C</t>
  </si>
  <si>
    <t>Aéré, replié le 03/05/2020
Lancé sous tyrolienne et replié le 15/03/2021
Aéré et replié le 05/03/2023. Les panneaux de fermeture du conteneur restaient adhérents au Pod.
Réformé et remplacé par modèlme identique.</t>
  </si>
  <si>
    <t>3/3/2</t>
  </si>
  <si>
    <t>Sigma 11-24</t>
  </si>
  <si>
    <t>Le relais</t>
  </si>
  <si>
    <t>Léger SO</t>
  </si>
  <si>
    <t xml:space="preserve">Le vol est super chouette, mais ….
 Aujourd'hui j'ai merdé. Déco sud de Cornudere, je me fais arracher, un peu traîner au sol, la voile fini dans la keke. C'était craignos, absolument pas maîtrisé, je sais à peu près pourquoi, mais ... passons. 
Je mets la voile en boule, je vais au deco Sud Ouest, grand Mitch et Jean Marc m'aident à remettre de l'ordre, ils me demandent si j'ai debouclé les cuissardes et ventral, Ras, je gonfle, je décolle, je vole 2h avec grand plaisir et, à l'atterro, je constate que j'aurai très bien pu faire secours en automatique, une des aiguilles de la poignée est défaite.  Voir photo. 
La prochaine fois que ça m'arrive, je reprends tout à zéro, prévol et tout le reste ! </t>
  </si>
  <si>
    <t>Télécabine</t>
  </si>
  <si>
    <t>Bas de cornu sud</t>
  </si>
  <si>
    <t>Michel Bellaygues</t>
  </si>
  <si>
    <t>Des bonnes sensations dans de bons thermiques, m'anènent jusqu'à l'ouest de Paloumère, puis par les faces sud jusqu'à Herbzq blanches, puis relais et attéro. J'aurai peut-être du patienter à la BA110, plus tard, certains on pu en sortir pour aller à l'Estelas. Mais pas grave, vol parfait !</t>
  </si>
  <si>
    <t>Beau, beau vol. Cette fois, assez facile de sortir de Bourrus pour aller à Soulan. Plaf bas, je n'inssite pas, je reviens à Bourrus, de 1150 je transite vers Le Mountagnat, aux environs de 1200, transition vers les Iriguades. Remontée vers Herbes blanches où je m'en sorts bien, je commence à connaître les ascendances. Retour vers le relais où je finis par refare 1200. Le Thouas me semble inaccessible, du coup je retourne à Soulan où je fais le plaf de mon vol et du coup le Thouas est accessible. Je l'aborde par la crête Pène Nère/Col de Larieu, ça porte bien, par contre une fois au nors du Thoas ça dégringole et ça contre. Ce n'est qu'un fois le Thouas contourné que je retrouve de quoi me refaire et en 4 ascendances je suis de nouveau au Col de larieu. Le retour est laborieux par les vallons nord de Soulan, mais je finis par passer, refaire un bon gain, boucler sous la Husse et rentrer à l'attero par la face nord toute gelée de Pène Blanque. 
Mon 1er beau vol de l'année.</t>
  </si>
  <si>
    <t>Essai de la sellette de Vincent Daoulas, une Supair Strike 2. pour une fois j'ai réussi à rentrer dedans assez facilement. Probablement pas très bien régler, mais le problème c'est surtout le manque d'amorti qui je suppose est du à la faible hauteur plateau/maillons. D'ailleurs s'en est génant pour la hauteur des mains pour les commandes. Je me retrouve à piloter mains très basses, coudes très pliés, et donc fatigant. Je la rend à Vincent sans regret ni envie d'achat.</t>
  </si>
  <si>
    <t>Belles conditions d'hiver, bien tonique avec un mélange de couche de vent pas toujours agréable. Mais au gloabl un très bon vol.</t>
  </si>
  <si>
    <t>Il ne fallait pas plus de vent ! Retour d'Est, Su fort en altitude, 20/40 à Cornu 70 au Pic du Midi.</t>
  </si>
  <si>
    <t>Enfin dégagé des travaux, j'étais fin près au début du printemps pour une grosse année …. Raté, météo pourri. Je décroche quand même un beau Arbas-Foix, un peu par hasard, 2 passage de la Garonne mais pas géniaux et par contre, le vol de l'année, 70 kms en triangle FAI au départ de Val Louron avec des plafs à plus de 4000. énooooorme. Le 7 décembre Réjane meurt, ça par contre c'est la grande douleur !</t>
  </si>
  <si>
    <t>Cier de Rivière</t>
  </si>
  <si>
    <t>Aspect</t>
  </si>
  <si>
    <t>Un plouf de Cier après être passé pour rien à Soueich, On en rit encore !</t>
  </si>
  <si>
    <t>Très énervé par Olivier Grimoux que j'insulte parcequ'il me dérange 2 fois de suite après avoir déranger Thierry D. sans jamais changé d'attitude. Du coup j'ai pété un cable et je l'ai insulté.</t>
  </si>
  <si>
    <t>Parti pour faire un plouf sous un voile épais de cirrus, en afit ça sortait tout seul. Passage à Paloumère pour le challenge, retour difficile à la Husse et comme un con, j'essaie d'(aller tourner Caoubech et je me fait enterrer au retour face au NE trop fort pour moi. Je ressort par miracle sur les coteaux du coté de chez Luis et j'échoue à l'entrée d'Aspect. Je retrouve ma sellette après les 2 vols précédents avec la Delight 3. C'est pas fait pour moi !</t>
  </si>
  <si>
    <t>Compete</t>
  </si>
  <si>
    <t>La journée était annoncé mauvaise, elle fut excellente. On se retrouve 4 au déco. E iront à la vallée de la Barousse, Thierry Strux, fait demi tout au Col des Ares, repasse à Arbas et finit apès St Girons. Mois, je fais les 2 1eres balises de mon triangle, mais j'échoue vers le relais sans plus rien trouver.</t>
  </si>
  <si>
    <t>1e manche de la compete d'Arbas, bon début de parcours, mais je merder du coté du relais ou je n'assure pas la plaf et je rate le retour de la pente école.*</t>
  </si>
  <si>
    <t>2ieme manche. Cettef ois je boucle, c'est bien satisfaisant, mais je fais quasiment la même erreur que la veille, pour aller fire la dernière balise de Castelbiague, il aurait fallu fair le plaf au Mountagnat et taper un A/R express. Seule excuse, c'est le moment o^est rentré un voile épais. D'ailleurs de retour de Castelbiague, le soleil revenu, je suis ressorti de la pointe du massif derrière le relais avec facilité.</t>
  </si>
  <si>
    <t>Flux d'ouest trop fort, limite pas volable. Sauf sous 1500 où c'était plus calme.*</t>
  </si>
  <si>
    <t>St Girons</t>
  </si>
  <si>
    <t>un peu pareil qe le vol précédent, trop d'ouest … NO mais cette fois volable. Après un bon plaf à l'Estelas, je tente de traverser la vallée su Salat par l'ouest de St Girons, mais je suis trop contré. Du coup je me retrouve entre Moulis et St Girons à l'endroit habituel ou ça monte, mais c'est trop NO et je ne veux pas partir dans le relief. Du coup, posé sécure à l'Est de St Girons.</t>
  </si>
  <si>
    <t>Pt de Prades</t>
  </si>
  <si>
    <t>Pic du Gar, Herbes Blanches, Le relais. Beaucoup plus facil que la précédent car peu de vent.</t>
  </si>
  <si>
    <t>Campan</t>
  </si>
  <si>
    <t>Ca me renvoie 20 ans en arrière quand avec Jo et Réjane en CC, j'étais allé d'Arbas à Aregels Gasost en 3 vols. 2ième passage à l'Arbizon en 25 ans de parapente, c'est peu, mais c'est mon everest à moi. Par con,tre s'il y a une prochaine fois, il faudra que j'évite les ZSM.</t>
  </si>
  <si>
    <t>1er manche, un vrai grand régale, on boucle presque tous, et tout le monde est content.</t>
  </si>
  <si>
    <t>2ème manche, plus difficile, je ne suis pas le groupe, et je fais mon bonhomme de chemin de mon coté. Je boucle, avant dernier mais c'est une belle réussite.</t>
  </si>
  <si>
    <t>Je boucle enfin un triangle FAI de 29 kms pour atteindre les 40pts CFD pour le challenge Profil.</t>
  </si>
  <si>
    <t>SIV à la Pobla de Segur avec Marc Boyer</t>
  </si>
  <si>
    <t>BGD Dual 41</t>
  </si>
  <si>
    <t>Bi pour le Plaf avec Vincent un gars de l'éclairage</t>
  </si>
  <si>
    <t>Bi pour le Plaf avec un enfant de 12 ans 40 kgs</t>
  </si>
  <si>
    <t>Bi avec Quentin, tour du bocale</t>
  </si>
  <si>
    <t>Bi avec Quentin, Espiaube - Céciré - Loudenvielle</t>
  </si>
  <si>
    <t>Lac de la Pobla de Segur</t>
  </si>
  <si>
    <t>Bi avec Aurelie (de Sylvain) beaucoup plus facile que la veille, dommage qu'on s'arrete pour cause pipi …</t>
  </si>
  <si>
    <t>Phi Maestro 2</t>
  </si>
  <si>
    <t>Certainement une bonne voilr, mais certainement pas une vraie B !!!</t>
  </si>
  <si>
    <t>Une bien belle moontée assez facile, dommage qu'ensuite j'ai eu mal au genoux</t>
  </si>
  <si>
    <t>Dernier vol avec la Sigma, après contrôle et calage par Certika, tout va bien. Et 1er vol avec la sellette Kortel Kuik3. Que je décide d'acheter.</t>
  </si>
  <si>
    <t>Je n'aime pas ces sites de plaine, mais là c'étaity plutot bien même si je dois prendre confiance dans ce nouveau montage sellette Kuik et Névada. La poignée du secours s'est en partie détaché, il va falloir trouver des solutions !</t>
  </si>
  <si>
    <t>O-NO</t>
  </si>
  <si>
    <t>Ca fait un beau vol, Cier-Arbas, mais pas vraiment plaisant. Certaines zones, peut-être sous le vent des thermiques étaient désagréable, à pas savoir quoi faire, enrouler, se barrer ??? Je fais une erreur sur la fin en pensant trouvé quelque chose au nord du Touas, alors qu'il fallait passer par le col de Larrieu. Pas bien grave, ça fait un beau vol, ou nous sommes 6 à faire le parcours, Mitch moyen, Hervé Belloc, Vince, Jean-Marc et Vincent Raja.</t>
  </si>
  <si>
    <t>Vent de NE faible</t>
  </si>
  <si>
    <t>Pris à froid, gros thermique en sortie de déco, la suite sera du même gabarit, 2/4 sur mon échelle du rock and vol. La Husse et Herbes blanche facile, plus compliqué pour revenir de Cazavet, il faudra soigner le retour la rpochaine fois.</t>
  </si>
  <si>
    <t>Belle montée par le Planot, Roc et Pie et les crêtes de Cornu</t>
  </si>
  <si>
    <t>Ikuma 3P - 24</t>
  </si>
  <si>
    <t>1er vol avec l'Ikuma, Beau virage, de bonnes sensations dessous mais les conditions de vols étaient difficile pour bien juger. Il me semble qu'elle est un peu lente, à revoir et à associer à l'usage de l'accelarateur.
Début du vol difficile au Planot, passage facile au Cagire et au Gar, je repars un peu bas du Cagire et raccroche difficilement au Picon, par contre, belle ascendence pour en sortir et passer Paloumère par le haut et aborder les faces sud de Cornu très mal pavées. Bellea ascendence de nouveau à Herbes blanches en compagnie d'un planeur, passage rapide à l'Estelas et retour par le relais ou de nouveau je n'arrive pas à retrouver unnthermique.</t>
  </si>
  <si>
    <t xml:space="preserve">Ikuma 3 P </t>
  </si>
  <si>
    <t>Achetée neuve chez Surfair 3534 € (-23%)</t>
  </si>
  <si>
    <t>Kuik 3</t>
  </si>
  <si>
    <t>Achetée neuve chez Surfair 1550 € (-11%)</t>
  </si>
  <si>
    <t>Sigma 11 24 puis Ikuma 3P 3P 24</t>
  </si>
  <si>
    <t>De bien mauvaises conditions pour essayer cette voile, mais je trouve qu'elle n'avance pas bien vite</t>
  </si>
  <si>
    <t>Léger flux de NE</t>
  </si>
  <si>
    <t>Un beau vol pour un beau cross. Je pensais d'abord aller droit vers l'Est, mais au Saqueton, j'ai trouvé le début de la transition bien difficile face à un peu d'Ouest, du coup j'ai tenté le retour. Passage délicat pour re^rendre au NO du col du Oo, sinon plutot facile. Pour la voile, il suffit de l'accélérer.</t>
  </si>
  <si>
    <t>On y croyait et pourtant le conditions ont été moins bonnes que la veille. Dommage. Du coup, étrange aérologie du coté du Cagire, Plutot agréable en face NE du Gar, retour difficile de nouveau au Cagire par la face NO probablement sous le vent, puis mieux coté NE, compliqué aussi coté Paloumère. Par contre le passage Cazavet/Estelas, un vrai régal.</t>
  </si>
  <si>
    <t>Echange de voile avec JL Nozières. J'essaie sa Air Design Soar. Ca confirme mes sensations de l'Ikuma, la Soar est plus rapide, je sens tout de suite, le vent relatif qui manque sur l'Ikuma. Ar contre, très physique aux commandes.</t>
  </si>
  <si>
    <t>1ere heure en local avec Quentin qui en ai à son 5 vols avec sa nouvelle Théta. Puis au plaf à 1550, je pars vers le Sud-Est, trop vers le relief et j'échoue à Aspect. Le coté cocasse c'est que je suis parti avec les clés de la C15. Du coup retour en stop en .... 30 minutes. La classe, Quentin même pâs encore posé !</t>
  </si>
  <si>
    <t>Vario encore égaré… décodemment ! Duc oup je vole sans, plutot pas mal. Finalement quelqu'un le retrouve au déco et Thierry me le rémène</t>
  </si>
  <si>
    <t>Sacrément difficile au début, je tiens vaille que vaille. Ca s'arrange peu à peu jusqu'à trouver une ascendence étonnante au dessus de Labaderque qui me monte à presque 1800 et qui me permet d'aller poser à Cornu.</t>
  </si>
  <si>
    <t>Beauocup plus facile, décoidemmeny il faut prendre son temps en ce moment. Trop bien au dessus du Plan de Liet.</t>
  </si>
  <si>
    <t>Castelbiague</t>
  </si>
  <si>
    <t>L'Espone</t>
  </si>
  <si>
    <t>Enfin un vol de référence dans les Pyrénées. Bien insppiré de décoller de l'Espone, j'ai un mal fou à m'extarire. Mais une fois sur la chaine, à part la puissance, quasi violente des thermiques, c'est tout du facile. C'est un gros, gros vol, mais pas tellement plaisant, par 2 fois, je suis au niveau 3 et je fuis les thermiques. Je pense les 2 fois qu'ils déclanchent en face sud, une fois à l'Estos et une fois au dessus du Plat d'Adet.</t>
  </si>
  <si>
    <t>Avec Paul et Margot des copains d'Hélène la fille de Colette</t>
  </si>
  <si>
    <t>Massif Central</t>
  </si>
  <si>
    <t>Puncho d'Agast</t>
  </si>
  <si>
    <t>Fourgon</t>
  </si>
  <si>
    <t>local</t>
  </si>
  <si>
    <t>Avec Quentin, Un bien beau vol du soir qui m'a renvoyé 20 ans en arrière en  stage avec Roland Thurel que j'i d'ailleurs rencpn,tré après le vol. Pas grand-chose à se dire.Dommage</t>
  </si>
  <si>
    <t>Alpes</t>
  </si>
  <si>
    <t>Passy</t>
  </si>
  <si>
    <t>Fourgon + Vélo</t>
  </si>
  <si>
    <t>Rien trouvé que de tout petits thermiques</t>
  </si>
  <si>
    <t>Passy -Varan</t>
  </si>
  <si>
    <t>Passy-Plaine Joux</t>
  </si>
  <si>
    <t>Passy - Plaine Joux</t>
  </si>
  <si>
    <t>Fourgon + Rando</t>
  </si>
  <si>
    <t>Montée bien raide aux Chalets de Varan, dommage on arrive pas à s'extarire</t>
  </si>
  <si>
    <t>Décoller de Plaine Joux, cette fois on sort bien, mais on abrège le vol à cause de l'approche des orages venant de l'Italie - MLt Blanc qui piègera pplus  tard pas mal de pilote à Annecy.</t>
  </si>
  <si>
    <t>Remontée mécanique</t>
  </si>
  <si>
    <t>Magnifique site, trop bien les remontée mécanique, même si franchement cher.</t>
  </si>
  <si>
    <t>Pareil qu'à Passy, posé pour cause d'arrivée d'orages. L'attéro est délicat.</t>
  </si>
  <si>
    <t>Lumbin</t>
  </si>
  <si>
    <t>Plafond bas, au niveau du plateau, mais balade A/R devant et c'est sympa</t>
  </si>
  <si>
    <t>Mito 2 RS</t>
  </si>
  <si>
    <t>Essai de la voile de Quentin après révision, c'est un nouveau parapebnte que voilà, qui vole plutot vite !</t>
  </si>
  <si>
    <t>L'Ikuma est chez J. Marc pour calage, je redécourvre la Névada que je n'arrive us à piloter. Quel viol ghalère</t>
  </si>
  <si>
    <t>4 biplaces pour la Conviviale du CDVL31</t>
  </si>
  <si>
    <t>Pieds</t>
  </si>
  <si>
    <t>Essai de l'Ikuma après recalage, ce n'est lus du tout la même voile. Je vais devoir réappre,dre à l'utiliser !</t>
  </si>
  <si>
    <t>Il aura bien fallu ces 3 heures de vol pour retrouver un contact correct avec la voile</t>
  </si>
  <si>
    <t>Dommage que Bruno me gène tout en bas de Bourrus, je serai peut-être ressorti.</t>
  </si>
  <si>
    <t>Ager Montsec</t>
  </si>
  <si>
    <t>Plateau intermédiaire</t>
  </si>
  <si>
    <t>Cenes de la Véga (Grenade)</t>
  </si>
  <si>
    <t>Cénès de la Véga</t>
  </si>
  <si>
    <t>Algodonales poniente</t>
  </si>
  <si>
    <t>Algodonales levante</t>
  </si>
  <si>
    <t>Algo poniente</t>
  </si>
  <si>
    <t>Algo levante</t>
  </si>
  <si>
    <t>Castillo de Loarre</t>
  </si>
  <si>
    <t>Loarre</t>
  </si>
  <si>
    <t>Avec une tendance Ouest, difficile de se faire plaisir. Des A/R devant le déco jusqu'à en avoir marre et après 3 ou 4 tentatives infructeuses de repose au déco, je me pose sur le plateau pour pouvoir remonter tranquillement à pieds.</t>
  </si>
  <si>
    <t>Mieux que la veille, toujours un peu de vent plutot SO, mais de quoi faire l'A/R d'une cluse à l'autre. Souvent à flirter avec la limite des nuages.</t>
  </si>
  <si>
    <t>François un biplaceur local canadien d'origine, m'a monté (5€ pour son chauffeur) et donnait de nombreuse explications. Très sympa et interressantes reflexion sur le biplace pro. Il fait les saisons à Annecy depuis 10 ans. Difficile de s'extraire du déco, d'ailleurs François n'y arrive pas, ensuite beaucoup plus facile. Les reliefs derrière sont bien tentant, ça doit être énorme de remonter vers la Sierra Névada. Beaucoup d'inquiétude avec la TMA de Grenade et le vario qui gueuler sa désaprobation. Je n'ai toujours pas compris ce qui est autorisé, peut-être 300 m/sol, mais François m'a dit qu'on pouvait montyer jusqu'à 1800 et que de toute smanières les controleurs n'étaient pas regardant, sauf sur un relief plus en arrrière à gaiche du déco si j'ai bien compris. Le thermique Grenadien est plutot tonique. heureusement qu'on est en arrière saison !</t>
  </si>
  <si>
    <t>Monté à pied, je décolle coté SO, faute, les loacaux en mpontant un peu plus ghaut sur la crête décollaient Sud, directement dans la face qui donnait bien. Car il y avait du vent de sud. J'ai qaund mêm réussi à sortir et à basculer du face à l'autre. Mais les conditions n'étaient pas très agréable, j'ai donc abrégé le vol.</t>
  </si>
  <si>
    <t>Enfin un beau, trè sbeau vol.Au déco c'était un peu n'importe quoi de la patr de nombreux pilotes, on sent qu'ici on vient consommer de l'heure de vol et que le niveau n'y est pas toujours. C'était travers droit, et il fallait tout de suite glisser vers la droite vers la face Nord-Ouest. Gag, en passant au dessu du déco N, il y avait une voile dans les arbres de chaque coté du déco. En l'air un grand régale, des thermique simmenses, doux et balisés par les avutours de retour de leur journée de taf. Remonté à pieds pour récupérer le fourgon et Anouka.</t>
  </si>
  <si>
    <t>Du vent de sud, peronne au déco, sauf 2 élèves qu'un moniteur fait décoller coté Sud. Du temps de me préparer, plus rien et c'est une brise de nord qui a pris le dessus. Après avoir abandonné le déco sud, je me suis installé sur le déco Est. Très vite des dusts en pagaille. j'avais mi s ma voile en boule et j'étais quasiment assis dessus. Puis ce que j'ilmaginais c'est produit, ces dusts on finit par créer une ascendans plus ou mois au dessus/derrière le déco et la bris à pris le dessus dur ce flux de Nord. J'en ai profité pour décoller, sentant bien que le créneau serait court et quil était aléatoire. Après gonflage, ça ne poartait pas, mais j'ai fini par passer par dessus les brountchous. Evidemment, les ascendances de l afaces sud étaient fortes et désorganisés. J'ai glissé peu à peu en milieu de vallée et c'est là que je me suis rendu compte que le flux majeur était de Sud, plutot marqué puisque j'ai bien lutté pour me  poser, toujours en sud. Vol assez merdique évidemment, mais satisafit de l'avoir fait et bien géré.</t>
  </si>
  <si>
    <t xml:space="preserve">Preques 3 semaines de balade Espagne/Portugal, les dépressions se suivent, dont Kirk qui va faire du mal sur la côte atkantique et en France. Ca n'est qu'à Loarre que je tente ma chance, avec une tendans Est marqué, SE au déco. Clairement je n'aurai pas du voler, mais là aussi, satisfait de l'avoir fait, déco puissant, vol quasi arrété face au vent et posé dans un champs de l'autre coté de l'attéro / à un verger. Je craignais les turbulances dues aux arbres. </t>
  </si>
  <si>
    <t>Déco un peu olé olé, par cause de tendance Est. Je fais exprès de décaller loin devant est ça monte. Vers Paloumère. Je décide d'insister et ce qui devait arrive, je n'arrive pas à me refaire, donc plan B, je vais poser versant sud à Escachein. Remonté à Cornu en 1h30 environ</t>
  </si>
  <si>
    <t>Cette fois déco olé olé car le vent est maintenant sud-ouest. Mais avec application et envie ça ce passe très bien.</t>
  </si>
  <si>
    <t>Théta 24 de Quentin</t>
  </si>
  <si>
    <t>Joli vol, avec Bruno on va à Cornudère avec des plafs autour de 2000, un point bas délicét au retour vers Cornu, puis un joli passage aidé par Vincent à Piscatelle, je m'accroche et réussi à sortir à Herbes blanche et à 1550 environ je passe par le coté ouet de l'Estelas pour revenir bien bas par le bas de la borne 110 et les Iriguades</t>
  </si>
  <si>
    <t>r</t>
  </si>
  <si>
    <t>Flux de sud, veille d'arrivée de perturb</t>
  </si>
  <si>
    <t>Ikuma 3 P 24</t>
  </si>
  <si>
    <t>Piedechinche</t>
  </si>
  <si>
    <t>Roldanillo</t>
  </si>
  <si>
    <t>Ansermanuevo</t>
  </si>
  <si>
    <t>Jerico</t>
  </si>
  <si>
    <t>Cier de rivière</t>
  </si>
  <si>
    <t>Essai sellette Advance ligtness4 de Jeanseb. Pas assez amorti, trop coucvhé</t>
  </si>
  <si>
    <t>Bize</t>
  </si>
  <si>
    <t>vol</t>
  </si>
  <si>
    <t>Cornu</t>
  </si>
  <si>
    <t>Monté avec Jean Seb, début de vol un peu trop tonique, posé à Cornu histoir de challenge</t>
  </si>
  <si>
    <t>Voyant que les plafs étaient nettement montés, A/RE Pic du Gar - Estelas en compagnie de David Epinat et Sammy Galego</t>
  </si>
  <si>
    <t>Après un passage par la Husse et le constat que l'ouest est bien là, je pars vers l'Est. Bloqué à Herbes blanches je reviens sur mes pas, Piscatelle, Mountagnat, Hérégades et j'arrive enfin à passer au nord de l'Estelas. Ensuite plus compliqué, je ne trove plus grand chose, trop de vent, pas d'aide des oiseaux....</t>
  </si>
  <si>
    <t>cette fois c'est de l'Est qui souffle, au coldu Hoo, je n'arrive pas à m'extraire, du coup je tente le retour.Je bloque au Picon en face Nord Ouest de Paloumère. Complétement arrété. Je décide d'aller me poser vers Aspect</t>
  </si>
  <si>
    <t>Saléchan</t>
  </si>
  <si>
    <t>Du vent dans tous les sens, brises en basse couche, de l'ENE jusqu'à 1500 environ et du SSE plus haut.</t>
  </si>
  <si>
    <t>Escarchein</t>
  </si>
  <si>
    <t>Dans un flux d'Est, en compagnie de Thierry Annah, Théo et Couzinier, dommage que je rate le vol avec Thierry qui va vers Pau 120kms. Retour avec David Epinat et làa je rate le retour enb voulant le suivre face sud de Cornu. Remontée à pieds à Herran</t>
  </si>
  <si>
    <t>Etrange vol ou ça monte tout le temps dans un fort flux de NE.</t>
  </si>
  <si>
    <t>Dual</t>
  </si>
  <si>
    <t>re^rise Biplace avec Quenfin</t>
  </si>
  <si>
    <t>Sigma 12 DLS</t>
  </si>
  <si>
    <t>Ribon</t>
  </si>
  <si>
    <t>A^rès un début difficile, jolie cross en compganie de Jean Marc</t>
  </si>
  <si>
    <t>Suaveterre</t>
  </si>
  <si>
    <t>cette fois on va vers l'Ouest plutot sympas, dommage de ne pas avoir réussi à porsuivre</t>
  </si>
  <si>
    <t>essaie de la Sigma 12 DLS taille 22 de Thierry. Probablement une très bonne voile, mais ej suis 3 kg au dessus du PTV Max et l'aile est trop puissante, à l'image d'un biplace</t>
  </si>
  <si>
    <t>Centre</t>
  </si>
  <si>
    <t>Septfonds</t>
  </si>
  <si>
    <t>Aguessac</t>
  </si>
  <si>
    <t>Benavent de la Conqua</t>
  </si>
  <si>
    <t>Beau cross malgré une lon,gue attente sur l'ouest de la barre, ensuite très bien par Tremp.</t>
  </si>
  <si>
    <t>Enfin des vrais belles conditions, l'impression de pouvoir aller partout, génial.</t>
  </si>
  <si>
    <t>Tuchan</t>
  </si>
  <si>
    <t>Début de ma balade vers les Alpes du sud. Du vent partout d'annoncé sauf en Languedoc, j'en profite pour découvrir ce site;</t>
  </si>
  <si>
    <t>Hérault/Gard</t>
  </si>
  <si>
    <t>La Séranne</t>
  </si>
  <si>
    <t>Brissac</t>
  </si>
  <si>
    <t>Décuverte de la Séranne, magnifique, vu vers la mer et les Cévennes, dommage qu'il y ait eu le nuage des fumées des incendies du Canada.</t>
  </si>
  <si>
    <t>Mont bouquet</t>
  </si>
  <si>
    <t>Barjac</t>
  </si>
  <si>
    <t>Enfin au départ d'un compété ! Parti dans les derniers, après é ou 3 remontées quasi du sol, je finis 3ème de la manche, évidemment sans faire exprès … mon heure de gloire !</t>
  </si>
  <si>
    <t>Saint Sébastien</t>
  </si>
  <si>
    <t>1ere tentative ratée</t>
  </si>
  <si>
    <t>St André de Cruzières</t>
  </si>
  <si>
    <t>Cette fois je réussi à m'xtraire, mais il y a trop de vent de nord pour moi, et après 2 thermiques j'échoue lamentablement. Retiur au sol et à la réalité du classeement</t>
  </si>
  <si>
    <t>Alpes du sud</t>
  </si>
  <si>
    <t>Banon</t>
  </si>
  <si>
    <t>L'Hospitalet</t>
  </si>
  <si>
    <t>Découverte deBanon, enfin après toutes ces années ou on est venu au Bleuet ! Beau site, toujours le nuage de fumées canadienne, dommage que je rate l'extraction en dessous de "Le Contras". J'aurai du partir au vent.</t>
  </si>
  <si>
    <t>St André les Alpes</t>
  </si>
  <si>
    <t>Mon graal à moi enfin réussi ! L'extraction du Cheval Blanc à l'aller à été épique, idem au Trauma sous l'Estrop, là carrément en mode "survie", la Blanche A/R c'est vrimenty donné, ensuite j'ai pris l'option retour par le Cheval Blanc et j'ai bien fait même si je suis arrivé assez bas, mais ensuite c'était du gateau.</t>
  </si>
  <si>
    <t xml:space="preserve">Dés l'attete au déco, les feux oranges d'allument, pas de brise, un petit dust, après le déco, conditiosn merdiques à cause du SudOuest, je réussi enfin à m'extraire devant le déco dans un thermique violent, une parapentiste dans les arbres suite fermeture et retour pente  et enfin du coté de Lambruisse, Une autre parapentiste qui dit avoir eu la peur de sa vie, du coup je décide de rentrer me poser, mais j'ai failli de pas raccrocher aux antennes, vraipent des conditions pourries; </t>
  </si>
  <si>
    <t>Ceillac</t>
  </si>
  <si>
    <t xml:space="preserve">Sécr tour de bocal perché à des hauteurs et au dessus de reliefs dont je n'ai absolument pas l'habitude. Dommage ressenti gaché par des remarques des locaux comme quoi j'étais "imprévisible" dans la grappe devant le déco. </t>
  </si>
  <si>
    <t>Mt Guillaume</t>
  </si>
  <si>
    <t>Quel beau coin. Je décolle probablement un peu tôt, ey je b'arrive pas à m'extraire. Pas grave, ensuite la brise de Durance est tellement forte que j'aurai eu du mal à me poser.</t>
  </si>
  <si>
    <t>Vallouise - Puy Aillaud</t>
  </si>
  <si>
    <t>Vallouise</t>
  </si>
  <si>
    <t>En gros le parc ours d'une manche classique à Vallouise puisque j'étais là pour ça, sacrés passage au dessus des reliefs, impressionnants, contré par la brise de Durance à plus de 2000, le passage du coté de St Crépin a été très dur.</t>
  </si>
  <si>
    <t>Impossible de m'extraire. Pas grave, la météo du jour ne s'annonce pas super. La compete du xe à suivre est annulée.</t>
  </si>
  <si>
    <t>Aveyron</t>
  </si>
  <si>
    <t>Impossible de trouver quoi que ce soit ! Etonnant</t>
  </si>
  <si>
    <t>Rivière sur Tarn</t>
  </si>
  <si>
    <t>Cette fois je sord facilement et on part pour un A/R à Mende. Il me manque 8 kms pour boucler, mais vraiment pas grave, le retour face au sud-ouest à été épîque. 2h l'aller, 3 h le retour.</t>
  </si>
  <si>
    <t xml:space="preserve">25 kms en 2 h quand les meilleurs du championnat de France qui a lieu en même temps, font 60 ou 70 kms. A part le &amp;er thermique, je n'ai plus réussi à sortir des gorges. </t>
  </si>
  <si>
    <t>75/95</t>
  </si>
  <si>
    <t>En B</t>
  </si>
  <si>
    <t>Un sacré triangle FAI, Col du Ho - Cazavet - Figarol. Très très beau</t>
  </si>
  <si>
    <t>Un autre sacré bea vol, risque de rentrer dans mon top 5, avec Vincent Daoulas, on va à l'entrée de la Garonne et retour avec une pointe à Herbe sblanche. Pas de afute tactique, en sécu tout le temps dont le retour par Mt de Galié. Une référence.</t>
  </si>
  <si>
    <t>Pas la même chanson, pourtant sur le même parcours, mais j'échoue au retour sur la traverséée de la Garonne, La météo prétique n'a pas rjoint lé météo théorique.</t>
  </si>
  <si>
    <t>Une météo très limite border line. Avec de 'est, un passage étonnant ou on passe de 2200 à 2500 en ligen droite sur la crête de Piscat à herbes blanches.
Vol avec Vincent Coburn, très agréable de voler avec lui.</t>
  </si>
  <si>
    <t>Vol du matin pour que Quentin test une sellette</t>
  </si>
  <si>
    <t>idem</t>
  </si>
  <si>
    <t>Pas beaucoup de plaf et une tendance NO, mais je réussi quand même à aller à Cazavet.</t>
  </si>
  <si>
    <t>Un SIV avec Soaring en mai me montre une carence de retard de tempo sur les abatées. Je change donc de voile pour "sous traiter" ce défaut.</t>
  </si>
  <si>
    <t>Essai Niviuk Artik R. Ca vole sacrément bien un bon cran au dessus de la mienne, mais c'est raide, l'impression d'être assis sur un banc en bois et on a pas du tout envie de la prendre sur la tête…</t>
  </si>
  <si>
    <t>Izault de l'Hotel</t>
  </si>
  <si>
    <t>Je pars vraiment bas, pour voir, je rate l'ascendance  du coté du Puech, et ensuite c'est une lente dégrngolade</t>
  </si>
  <si>
    <t>2 vols un peu identque, trop de vent pour moi.</t>
  </si>
  <si>
    <t>C'était bien parti avec un A/R au Gar, mais au retour je bloque aux Hérégades et je n'arrive pas à continuer vers l'Est. Dommage.</t>
  </si>
  <si>
    <t>Interressant, je pars par le nord de Pène Nere à 1250, puis Caoubech 1550, Cagire et Gar 1700, retour contrée par de l'Est, je bloque à Paloumère et posé à Rocépy.</t>
  </si>
  <si>
    <t>Ppour redesecndre du vol précédent, j'accompagne Thierry qui est en biplace.</t>
  </si>
  <si>
    <t>C'était bien parti, malgré de l'Est je sord …haut par l'Estos, Plat d'Adet, Espiaube, mais je crois apercevoir un e voile en signe de détresse face Nord d'Espiaube, j'appelle les pompeirs etc … Bref c'était un tapis de protection de la station envolé, mais j'étais sorti du vol, et malgré une tenttaive pour rentrer à Val Louron, j'échoue à St Lary.</t>
  </si>
  <si>
    <t>Le Vol !!! Malgré un début difficile car parti un peu tôt, je quitte le bocal vers 3300 pour les Granges puis l'Arbizon où je suis beaucoup trio bloqué par le vent de Nord. Retour vers Espiaube ou je rejoins un  groupe vesr 4400, du c oup et pour la première fois, direction le Pic du Midi qu'on sontourne à plus de 4000. Retour par Espiaube et la Plat d'Adet, quasi de nouveau 4000, mauvaise transition vers la crête au sud de Ens, et sorti tumultueuse depuis les faces sud de Val Louron. Après un gros plaf devant l'Estos, la fin est facile par le Hourgae et le Grd Queyrat. Je rate la fin par le Pic du Lion, car contré par le nord, mais c'est pas grave, je suis enfin allé au Pic de Midi de Bigorre. Youpiiii.</t>
  </si>
  <si>
    <t>Lannemezan</t>
  </si>
  <si>
    <t>Un bien joli vol commencé par une longue attente pour que la couverture nuageuse s'ouvre. Passage par Soulan, puis le Toas de tache  en tache de soleil.Après Pujos et le survol de chez Philou, ça devient plus facile. A Cier de Rivière je tente le retour, mais je suis trop contré, je perds beaucoup d'ltitude et je décide de partir vers la national pour rentrer facilement. Mais ça monte un peu partout, alors je repars vers le péage de Montrejeau, toujours pour trouver un retour, et comme c'est toujours aussi facile, poussé par un bon vent d4est, je continu vers Lannemezan en longeant la national. Un peu avant l'hopital, voyant  au loin la cassure du plateau et surtout avec une zone reglementée à venir, j'oblique vers le SE vers le péage de Lannemezan ou je me pose? Retour hyper facile, d'aborde avec Fred CUQ, un Toulousain en balade, rando VTT Parapente qui vit du coté de Medellin et ensuite mes locataires du gîte qui me reconnaissent et me ramène de Montsaunes à Arbas. Super journée !!!</t>
  </si>
  <si>
    <t>Italie</t>
  </si>
  <si>
    <t>Feltre</t>
  </si>
  <si>
    <t>Pedavena</t>
  </si>
  <si>
    <t>Montée à pied un peu longue mais très bien balisé. Découverte du site.. Magnifique</t>
  </si>
  <si>
    <t>Joli cros en appui sur le long relief qui va vers l'est. Facile de crosser ici et sacré beaux âyasage</t>
  </si>
  <si>
    <t>Monté Dolada</t>
  </si>
  <si>
    <t>Gama</t>
  </si>
  <si>
    <t>Canazei</t>
  </si>
  <si>
    <t>Rodela</t>
  </si>
  <si>
    <t>Le vol révé depuis le film "Le rêvce réussi d'Icare" début des années 2000. Reliefs énormes, paysage grandiose, probablement mon vol le plus monumental. Survolé la Marmolada, même si les conditions étaient engagées, c'est un des moments les plus forts de mon vécu en parapente. Comme un shoot , envi d'y rvenrir.</t>
  </si>
  <si>
    <t>Trop de monde proche du relief, mieux vaut rentrer</t>
  </si>
  <si>
    <t>Revines</t>
  </si>
  <si>
    <t>Levico Terme</t>
  </si>
  <si>
    <t>Levico</t>
  </si>
  <si>
    <t>De nouveau un très beau site, accés, déco, vol en appui sur les reliefs avec la plaine en dessous. Superbe</t>
  </si>
  <si>
    <t>Monté Pirello</t>
  </si>
  <si>
    <t>Fontane</t>
  </si>
  <si>
    <t>Un vol parfait pour admirer le lac de Garde. Malheureusement un peu dans les nuages, à refaire !</t>
  </si>
  <si>
    <t>Cerno Buco</t>
  </si>
  <si>
    <t>Villongo</t>
  </si>
  <si>
    <t>cette fois c'est le lac d'Iseo, magnifique aussi.</t>
  </si>
  <si>
    <t>Cornizzolo</t>
  </si>
  <si>
    <t>Suello</t>
  </si>
  <si>
    <t>C'était un des sites réputé d'Iralie, je suis déçu, Feltre ou Lévico sont beaucoup mieux</t>
  </si>
  <si>
    <t>Lube</t>
  </si>
  <si>
    <t>Beau début de vol à jouer entre 1000 et 1300 m, mais après 8 ou 9 kms vers l'ouest, du coté de Vaugines/lourmarin, je rate le thermmique et je préfère me poser sur kla crête plutot que de risquer le versant sud et ses foêts. Long retour avec camionette de forestier, stop et marche.</t>
  </si>
  <si>
    <t>Zarbicup avec JeanSeb.</t>
  </si>
  <si>
    <t>Chein</t>
  </si>
  <si>
    <t>monté avec Gd Mitch, je decolle en SO et la bingo, feu pour 2600, mais avec de l''ouest fort et genfre rock and roll. Mais ça reste des sacrés grands moments; quelle vue … grabdiose.</t>
  </si>
  <si>
    <t xml:space="preserve">Janv. Fevr. </t>
  </si>
  <si>
    <t>Révision chez Vairiféo le 20/05/2025 après un peu plus de 200 h de vol. Tout va bien.
Calage fin 2025 à 340h, stab rallongé sinon ok
Retour Colombie début mars, elle a 434h</t>
  </si>
  <si>
    <t>essai Alpina5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</si>
</sst>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h:mm;@"/>
    <numFmt numFmtId="166" formatCode="[$-40C]d\-mmm;@"/>
    <numFmt numFmtId="167" formatCode="d\-mmm"/>
  </numFmts>
  <fonts count="20" x14ac:knownFonts="1">
    <font>
      <sz val="10"/>
      <name val="Arial"/>
    </font>
    <font>
      <sz val="8"/>
      <name val="Times New Roman"/>
      <family val="1"/>
    </font>
    <font>
      <sz val="8"/>
      <name val="Times New Roman"/>
      <family val="1"/>
    </font>
    <font>
      <sz val="10"/>
      <name val="MS Sans Serif"/>
      <family val="2"/>
    </font>
    <font>
      <b/>
      <sz val="8"/>
      <name val="Times New Roman"/>
      <family val="1"/>
    </font>
    <font>
      <sz val="8"/>
      <name val="MS Sans Serif"/>
      <family val="2"/>
    </font>
    <font>
      <b/>
      <sz val="8"/>
      <name val="Times New Roman"/>
      <family val="1"/>
    </font>
    <font>
      <u/>
      <sz val="8"/>
      <name val="Times New Roman"/>
      <family val="1"/>
    </font>
    <font>
      <sz val="10"/>
      <name val="Arial"/>
      <family val="2"/>
    </font>
    <font>
      <b/>
      <sz val="9"/>
      <color indexed="81"/>
      <name val="Tahoma"/>
      <family val="2"/>
    </font>
    <font>
      <sz val="8"/>
      <name val="Arial"/>
      <family val="2"/>
    </font>
    <font>
      <sz val="9"/>
      <name val="Times New Roman"/>
      <family val="1"/>
    </font>
    <font>
      <sz val="9"/>
      <name val="Arial"/>
      <family val="2"/>
    </font>
    <font>
      <sz val="10"/>
      <color indexed="9"/>
      <name val="Arial"/>
      <family val="2"/>
    </font>
    <font>
      <sz val="8"/>
      <name val="Arial"/>
      <family val="2"/>
    </font>
    <font>
      <sz val="9"/>
      <color indexed="81"/>
      <name val="Tahoma"/>
      <family val="2"/>
    </font>
    <font>
      <u/>
      <sz val="10"/>
      <color theme="10"/>
      <name val="Arial"/>
      <family val="2"/>
    </font>
    <font>
      <sz val="10"/>
      <color rgb="FFFF0000"/>
      <name val="Arial"/>
      <family val="2"/>
    </font>
    <font>
      <sz val="10"/>
      <color rgb="FFFFFF00"/>
      <name val="Arial"/>
      <family val="2"/>
    </font>
    <font>
      <b/>
      <sz val="9"/>
      <color indexed="81"/>
      <name val="Tahoma"/>
      <charset val="1"/>
    </font>
  </fonts>
  <fills count="18">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indexed="52"/>
        <bgColor indexed="64"/>
      </patternFill>
    </fill>
    <fill>
      <patternFill patternType="solid">
        <fgColor indexed="50"/>
        <bgColor indexed="64"/>
      </patternFill>
    </fill>
    <fill>
      <patternFill patternType="solid">
        <fgColor indexed="10"/>
        <bgColor indexed="64"/>
      </patternFill>
    </fill>
    <fill>
      <patternFill patternType="solid">
        <fgColor indexed="56"/>
        <bgColor indexed="64"/>
      </patternFill>
    </fill>
    <fill>
      <patternFill patternType="solid">
        <fgColor indexed="9"/>
        <bgColor indexed="64"/>
      </patternFill>
    </fill>
    <fill>
      <patternFill patternType="solid">
        <fgColor rgb="FFFF0066"/>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indexed="4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3">
    <xf numFmtId="0" fontId="0" fillId="0" borderId="0"/>
    <xf numFmtId="0" fontId="3" fillId="0" borderId="0"/>
    <xf numFmtId="0" fontId="16" fillId="0" borderId="0" applyNumberFormat="0" applyFill="0" applyBorder="0" applyAlignment="0" applyProtection="0"/>
  </cellStyleXfs>
  <cellXfs count="302">
    <xf numFmtId="0" fontId="0" fillId="0" borderId="0" xfId="0"/>
    <xf numFmtId="0" fontId="2" fillId="0" borderId="0" xfId="0" applyNumberFormat="1" applyFont="1" applyAlignment="1">
      <alignment horizontal="center" vertical="top" wrapText="1"/>
    </xf>
    <xf numFmtId="0" fontId="2" fillId="0" borderId="0" xfId="0" applyNumberFormat="1" applyFont="1" applyAlignment="1">
      <alignment vertical="top" wrapText="1"/>
    </xf>
    <xf numFmtId="14" fontId="2" fillId="0" borderId="0" xfId="0" applyNumberFormat="1" applyFont="1" applyAlignment="1">
      <alignment horizontal="center" vertical="top" wrapText="1"/>
    </xf>
    <xf numFmtId="14" fontId="2" fillId="0" borderId="0" xfId="0" applyNumberFormat="1" applyFont="1" applyAlignment="1">
      <alignment vertical="top" wrapText="1"/>
    </xf>
    <xf numFmtId="0" fontId="1" fillId="0" borderId="0" xfId="1" applyFont="1" applyAlignment="1">
      <alignment horizontal="center" vertical="top" wrapText="1"/>
    </xf>
    <xf numFmtId="0" fontId="1" fillId="0" borderId="0" xfId="1" applyFont="1" applyAlignment="1">
      <alignment vertical="top" wrapText="1"/>
    </xf>
    <xf numFmtId="164" fontId="1" fillId="0" borderId="0" xfId="1" applyNumberFormat="1" applyFont="1" applyAlignment="1">
      <alignment vertical="top" wrapText="1"/>
    </xf>
    <xf numFmtId="14" fontId="1" fillId="0" borderId="0" xfId="1" applyNumberFormat="1" applyFont="1" applyAlignment="1">
      <alignment vertical="top" wrapText="1"/>
    </xf>
    <xf numFmtId="14" fontId="6" fillId="0" borderId="0" xfId="1" applyNumberFormat="1" applyFont="1" applyAlignment="1">
      <alignment horizontal="left" vertical="top"/>
    </xf>
    <xf numFmtId="0" fontId="1" fillId="0" borderId="0" xfId="1" quotePrefix="1" applyFont="1" applyAlignment="1">
      <alignment vertical="top" wrapText="1"/>
    </xf>
    <xf numFmtId="0" fontId="1" fillId="0" borderId="0" xfId="1" applyFont="1" applyAlignment="1">
      <alignment horizontal="left" vertical="top"/>
    </xf>
    <xf numFmtId="164" fontId="1" fillId="0" borderId="0" xfId="1" applyNumberFormat="1" applyFont="1" applyAlignment="1">
      <alignment horizontal="center" vertical="top" wrapText="1"/>
    </xf>
    <xf numFmtId="0" fontId="1" fillId="0" borderId="0" xfId="1" applyFont="1" applyAlignment="1">
      <alignment vertical="top"/>
    </xf>
    <xf numFmtId="164" fontId="1" fillId="0" borderId="0" xfId="1" applyNumberFormat="1" applyFont="1" applyAlignment="1">
      <alignment vertical="top"/>
    </xf>
    <xf numFmtId="14" fontId="1" fillId="0" borderId="0" xfId="1" applyNumberFormat="1" applyFont="1" applyAlignment="1">
      <alignment vertical="top"/>
    </xf>
    <xf numFmtId="14" fontId="7" fillId="0" borderId="0" xfId="1" applyNumberFormat="1" applyFont="1" applyAlignment="1">
      <alignment vertical="top"/>
    </xf>
    <xf numFmtId="0" fontId="2" fillId="0" borderId="0" xfId="1" applyFont="1" applyAlignment="1">
      <alignment vertical="top" wrapText="1"/>
    </xf>
    <xf numFmtId="1" fontId="0" fillId="0" borderId="0" xfId="0" applyNumberFormat="1"/>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1" fontId="0" fillId="0" borderId="1" xfId="0" applyNumberFormat="1" applyBorder="1" applyAlignment="1">
      <alignment horizontal="center" wrapText="1"/>
    </xf>
    <xf numFmtId="0" fontId="0" fillId="0" borderId="1" xfId="0" applyBorder="1"/>
    <xf numFmtId="1" fontId="0" fillId="0" borderId="1" xfId="0" applyNumberFormat="1" applyBorder="1"/>
    <xf numFmtId="2" fontId="0" fillId="0" borderId="1" xfId="0" applyNumberFormat="1" applyBorder="1"/>
    <xf numFmtId="0" fontId="2" fillId="0" borderId="0" xfId="0" quotePrefix="1" applyNumberFormat="1" applyFont="1" applyAlignment="1">
      <alignment vertical="top" wrapText="1"/>
    </xf>
    <xf numFmtId="0" fontId="8" fillId="0" borderId="0" xfId="0" applyFont="1" applyAlignment="1">
      <alignment wrapText="1"/>
    </xf>
    <xf numFmtId="0" fontId="8" fillId="0" borderId="0" xfId="0" applyFont="1" applyAlignment="1">
      <alignment horizontal="center" wrapText="1"/>
    </xf>
    <xf numFmtId="0" fontId="0" fillId="0" borderId="0" xfId="0" applyAlignment="1">
      <alignment horizontal="center" wrapText="1"/>
    </xf>
    <xf numFmtId="0" fontId="8" fillId="0" borderId="1" xfId="0" applyFont="1" applyBorder="1" applyAlignment="1">
      <alignment horizontal="center" wrapText="1"/>
    </xf>
    <xf numFmtId="0" fontId="8" fillId="0" borderId="1" xfId="0" applyFont="1" applyBorder="1" applyAlignment="1">
      <alignment wrapText="1"/>
    </xf>
    <xf numFmtId="0" fontId="8" fillId="3" borderId="1" xfId="0" applyFont="1" applyFill="1" applyBorder="1" applyAlignment="1">
      <alignment wrapText="1"/>
    </xf>
    <xf numFmtId="0" fontId="0" fillId="3" borderId="1" xfId="0" applyFill="1" applyBorder="1" applyAlignment="1">
      <alignment wrapText="1"/>
    </xf>
    <xf numFmtId="0" fontId="8" fillId="3" borderId="0" xfId="0" applyFont="1" applyFill="1" applyAlignment="1">
      <alignment wrapText="1"/>
    </xf>
    <xf numFmtId="0" fontId="0" fillId="3" borderId="0" xfId="0" applyFill="1" applyAlignment="1">
      <alignment wrapText="1"/>
    </xf>
    <xf numFmtId="0" fontId="0" fillId="0" borderId="1" xfId="0" applyFill="1" applyBorder="1"/>
    <xf numFmtId="0" fontId="8" fillId="0" borderId="1" xfId="0" applyFont="1" applyFill="1" applyBorder="1"/>
    <xf numFmtId="0" fontId="1" fillId="0" borderId="0" xfId="0" applyNumberFormat="1" applyFont="1" applyAlignment="1">
      <alignment horizontal="left" vertical="top"/>
    </xf>
    <xf numFmtId="0" fontId="1" fillId="0" borderId="0" xfId="0" applyNumberFormat="1" applyFont="1" applyAlignment="1">
      <alignment horizontal="center" vertical="top" wrapText="1"/>
    </xf>
    <xf numFmtId="14" fontId="1" fillId="0" borderId="0" xfId="0" applyNumberFormat="1" applyFont="1" applyAlignment="1">
      <alignment horizontal="center" vertical="top" wrapText="1"/>
    </xf>
    <xf numFmtId="0" fontId="10" fillId="0" borderId="0" xfId="0" applyFont="1"/>
    <xf numFmtId="16" fontId="10" fillId="0" borderId="0" xfId="0" applyNumberFormat="1" applyFont="1"/>
    <xf numFmtId="0" fontId="10" fillId="0" borderId="0" xfId="0" applyFont="1" applyAlignment="1">
      <alignment wrapText="1"/>
    </xf>
    <xf numFmtId="0" fontId="10" fillId="0" borderId="0" xfId="0" applyNumberFormat="1" applyFont="1"/>
    <xf numFmtId="0" fontId="1" fillId="0" borderId="0" xfId="0" applyNumberFormat="1" applyFont="1" applyAlignment="1">
      <alignment horizontal="center" vertical="center" wrapText="1"/>
    </xf>
    <xf numFmtId="0" fontId="1" fillId="0" borderId="0" xfId="0" applyNumberFormat="1" applyFont="1" applyAlignment="1">
      <alignment vertical="top" wrapText="1"/>
    </xf>
    <xf numFmtId="0" fontId="0" fillId="0" borderId="2" xfId="0" applyBorder="1"/>
    <xf numFmtId="1" fontId="0" fillId="0" borderId="2" xfId="0" applyNumberFormat="1" applyBorder="1"/>
    <xf numFmtId="2" fontId="0" fillId="0" borderId="2" xfId="0" applyNumberFormat="1" applyBorder="1"/>
    <xf numFmtId="1" fontId="0" fillId="0" borderId="3" xfId="0" applyNumberFormat="1" applyBorder="1"/>
    <xf numFmtId="1" fontId="8" fillId="0" borderId="2" xfId="0" applyNumberFormat="1" applyFont="1" applyBorder="1"/>
    <xf numFmtId="14" fontId="1" fillId="0" borderId="0" xfId="0" applyNumberFormat="1" applyFont="1" applyAlignment="1">
      <alignment horizontal="center" vertical="center" wrapText="1"/>
    </xf>
    <xf numFmtId="0" fontId="10" fillId="0" borderId="0" xfId="0" applyFont="1" applyAlignment="1">
      <alignment vertical="center"/>
    </xf>
    <xf numFmtId="0" fontId="10" fillId="0" borderId="1" xfId="0" applyFont="1" applyBorder="1" applyAlignment="1">
      <alignment horizontal="center" wrapText="1"/>
    </xf>
    <xf numFmtId="0" fontId="10" fillId="0" borderId="1" xfId="0" applyFont="1" applyBorder="1" applyAlignment="1">
      <alignment vertical="top" wrapText="1"/>
    </xf>
    <xf numFmtId="0" fontId="10" fillId="2" borderId="1" xfId="0" applyFont="1" applyFill="1" applyBorder="1" applyAlignment="1">
      <alignment vertical="top" wrapText="1"/>
    </xf>
    <xf numFmtId="0" fontId="10" fillId="0" borderId="1" xfId="0" applyFont="1" applyBorder="1" applyAlignment="1">
      <alignment horizontal="center" vertical="top" wrapText="1"/>
    </xf>
    <xf numFmtId="165" fontId="1" fillId="0" borderId="0" xfId="0" applyNumberFormat="1" applyFont="1" applyAlignment="1">
      <alignment horizontal="center" vertical="center" wrapText="1"/>
    </xf>
    <xf numFmtId="165" fontId="10" fillId="0" borderId="0" xfId="0" applyNumberFormat="1" applyFont="1"/>
    <xf numFmtId="165" fontId="10" fillId="0" borderId="1" xfId="0" applyNumberFormat="1" applyFont="1" applyBorder="1" applyAlignment="1">
      <alignment horizontal="center" wrapText="1"/>
    </xf>
    <xf numFmtId="165" fontId="10" fillId="0" borderId="1" xfId="0" applyNumberFormat="1" applyFont="1" applyBorder="1" applyAlignment="1">
      <alignment vertical="top" wrapText="1"/>
    </xf>
    <xf numFmtId="0" fontId="0" fillId="0" borderId="1" xfId="0" quotePrefix="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2" fontId="0" fillId="0" borderId="1" xfId="0" applyNumberFormat="1" applyBorder="1" applyAlignment="1">
      <alignment horizontal="center"/>
    </xf>
    <xf numFmtId="1" fontId="0" fillId="0" borderId="1" xfId="0" applyNumberFormat="1" applyBorder="1" applyAlignment="1">
      <alignment horizontal="center"/>
    </xf>
    <xf numFmtId="1" fontId="0" fillId="0" borderId="9" xfId="0" applyNumberFormat="1" applyBorder="1" applyAlignment="1">
      <alignment horizontal="center" wrapText="1"/>
    </xf>
    <xf numFmtId="0" fontId="8" fillId="0" borderId="0" xfId="0" applyFont="1"/>
    <xf numFmtId="0" fontId="0" fillId="0" borderId="0" xfId="0" applyAlignment="1">
      <alignment horizontal="center"/>
    </xf>
    <xf numFmtId="0" fontId="0" fillId="0" borderId="0" xfId="0" applyAlignment="1">
      <alignment horizontal="right"/>
    </xf>
    <xf numFmtId="164" fontId="0" fillId="0" borderId="0" xfId="0" applyNumberFormat="1" applyAlignment="1">
      <alignment horizontal="right"/>
    </xf>
    <xf numFmtId="2" fontId="1" fillId="0" borderId="0" xfId="0" applyNumberFormat="1" applyFont="1" applyAlignment="1">
      <alignment horizontal="center" vertical="center" wrapText="1"/>
    </xf>
    <xf numFmtId="2" fontId="10" fillId="0" borderId="0" xfId="0" applyNumberFormat="1" applyFont="1"/>
    <xf numFmtId="0" fontId="11" fillId="0" borderId="0" xfId="0" applyNumberFormat="1" applyFont="1" applyAlignment="1">
      <alignment horizontal="left" vertical="top"/>
    </xf>
    <xf numFmtId="0" fontId="11" fillId="0" borderId="0" xfId="0" applyNumberFormat="1" applyFont="1" applyAlignment="1">
      <alignment horizontal="center" vertical="top" wrapText="1"/>
    </xf>
    <xf numFmtId="165" fontId="11" fillId="0" borderId="0" xfId="0" applyNumberFormat="1" applyFont="1" applyAlignment="1">
      <alignment horizontal="center" vertical="top" wrapText="1"/>
    </xf>
    <xf numFmtId="2" fontId="11" fillId="0" borderId="0" xfId="0" applyNumberFormat="1" applyFont="1" applyAlignment="1">
      <alignment horizontal="center" vertical="top" wrapText="1"/>
    </xf>
    <xf numFmtId="0" fontId="12" fillId="0" borderId="0" xfId="0" applyFont="1"/>
    <xf numFmtId="166" fontId="11" fillId="0" borderId="0" xfId="0" applyNumberFormat="1" applyFont="1" applyAlignment="1">
      <alignment horizontal="center" vertical="top" wrapText="1"/>
    </xf>
    <xf numFmtId="166" fontId="1" fillId="0" borderId="0" xfId="0" applyNumberFormat="1" applyFont="1" applyAlignment="1">
      <alignment horizontal="center" vertical="center" wrapText="1"/>
    </xf>
    <xf numFmtId="166" fontId="10" fillId="0" borderId="0" xfId="0" applyNumberFormat="1" applyFont="1"/>
    <xf numFmtId="164" fontId="0" fillId="0" borderId="1" xfId="0" applyNumberFormat="1" applyBorder="1" applyAlignment="1"/>
    <xf numFmtId="164" fontId="0" fillId="0" borderId="1" xfId="0" applyNumberFormat="1" applyBorder="1" applyAlignment="1">
      <alignment wrapText="1"/>
    </xf>
    <xf numFmtId="0" fontId="0" fillId="4" borderId="1" xfId="0" applyFill="1" applyBorder="1" applyAlignment="1">
      <alignment horizontal="center"/>
    </xf>
    <xf numFmtId="0" fontId="0" fillId="0" borderId="1" xfId="0" applyBorder="1" applyAlignment="1">
      <alignment horizontal="center"/>
    </xf>
    <xf numFmtId="164" fontId="0" fillId="4" borderId="1" xfId="0" applyNumberFormat="1" applyFill="1" applyBorder="1" applyAlignment="1">
      <alignment horizontal="center"/>
    </xf>
    <xf numFmtId="164" fontId="0" fillId="4" borderId="1" xfId="0" applyNumberFormat="1" applyFill="1" applyBorder="1" applyAlignment="1">
      <alignment horizontal="right"/>
    </xf>
    <xf numFmtId="164" fontId="0" fillId="5" borderId="1" xfId="0" applyNumberFormat="1" applyFill="1" applyBorder="1" applyAlignment="1">
      <alignment horizontal="right"/>
    </xf>
    <xf numFmtId="0" fontId="0" fillId="0" borderId="1" xfId="0" applyBorder="1" applyAlignment="1">
      <alignment horizontal="right"/>
    </xf>
    <xf numFmtId="14" fontId="8" fillId="4" borderId="1" xfId="0" quotePrefix="1" applyNumberFormat="1" applyFont="1" applyFill="1" applyBorder="1" applyAlignment="1">
      <alignment horizontal="right"/>
    </xf>
    <xf numFmtId="0" fontId="8" fillId="4" borderId="1" xfId="0" quotePrefix="1" applyFont="1" applyFill="1" applyBorder="1" applyAlignment="1">
      <alignment horizontal="right"/>
    </xf>
    <xf numFmtId="0" fontId="0" fillId="5" borderId="1" xfId="0" applyFill="1" applyBorder="1" applyAlignment="1">
      <alignment horizontal="center"/>
    </xf>
    <xf numFmtId="0" fontId="8" fillId="5" borderId="1" xfId="0" applyFont="1" applyFill="1" applyBorder="1" applyAlignment="1">
      <alignment horizontal="center"/>
    </xf>
    <xf numFmtId="0" fontId="8" fillId="0" borderId="1" xfId="0" applyFont="1" applyBorder="1" applyAlignment="1">
      <alignment horizontal="center"/>
    </xf>
    <xf numFmtId="0" fontId="0" fillId="6" borderId="1" xfId="0" applyFill="1" applyBorder="1" applyAlignment="1">
      <alignment horizontal="right"/>
    </xf>
    <xf numFmtId="0" fontId="8" fillId="0" borderId="1" xfId="0" applyFont="1" applyBorder="1"/>
    <xf numFmtId="14" fontId="8" fillId="6" borderId="1" xfId="0" quotePrefix="1" applyNumberFormat="1" applyFont="1" applyFill="1" applyBorder="1" applyAlignment="1">
      <alignment horizontal="right"/>
    </xf>
    <xf numFmtId="0" fontId="0" fillId="5" borderId="1" xfId="0" applyFill="1" applyBorder="1" applyAlignment="1">
      <alignment horizontal="right"/>
    </xf>
    <xf numFmtId="164" fontId="8" fillId="5" borderId="1" xfId="0" applyNumberFormat="1" applyFont="1" applyFill="1" applyBorder="1" applyAlignment="1">
      <alignment horizontal="right"/>
    </xf>
    <xf numFmtId="0" fontId="8" fillId="0" borderId="1" xfId="0" applyFont="1" applyBorder="1" applyAlignment="1">
      <alignment horizontal="right"/>
    </xf>
    <xf numFmtId="0" fontId="8" fillId="6" borderId="1" xfId="0" quotePrefix="1" applyFont="1" applyFill="1" applyBorder="1" applyAlignment="1">
      <alignment horizontal="right"/>
    </xf>
    <xf numFmtId="164" fontId="0" fillId="6" borderId="1" xfId="0" applyNumberFormat="1" applyFill="1" applyBorder="1" applyAlignment="1">
      <alignment horizontal="right"/>
    </xf>
    <xf numFmtId="164" fontId="0" fillId="0" borderId="1" xfId="0" applyNumberFormat="1" applyBorder="1" applyAlignment="1">
      <alignment horizontal="right"/>
    </xf>
    <xf numFmtId="164" fontId="8" fillId="4" borderId="1" xfId="0" applyNumberFormat="1" applyFont="1" applyFill="1" applyBorder="1" applyAlignment="1">
      <alignment horizontal="right"/>
    </xf>
    <xf numFmtId="0" fontId="0" fillId="4" borderId="1" xfId="0" quotePrefix="1" applyFill="1" applyBorder="1" applyAlignment="1">
      <alignment horizontal="right"/>
    </xf>
    <xf numFmtId="0" fontId="8" fillId="5" borderId="1" xfId="0" quotePrefix="1" applyFont="1" applyFill="1" applyBorder="1" applyAlignment="1">
      <alignment horizontal="right"/>
    </xf>
    <xf numFmtId="0" fontId="8" fillId="5" borderId="1" xfId="0" applyFont="1" applyFill="1" applyBorder="1" applyAlignment="1">
      <alignment horizontal="right"/>
    </xf>
    <xf numFmtId="164" fontId="8" fillId="6" borderId="1" xfId="0" applyNumberFormat="1" applyFont="1" applyFill="1" applyBorder="1" applyAlignment="1">
      <alignment horizontal="right"/>
    </xf>
    <xf numFmtId="0" fontId="10" fillId="0" borderId="0" xfId="0" applyFont="1" applyAlignment="1">
      <alignment vertical="top" wrapText="1"/>
    </xf>
    <xf numFmtId="0" fontId="0" fillId="2" borderId="1" xfId="0" applyFill="1" applyBorder="1" applyAlignment="1">
      <alignment wrapText="1"/>
    </xf>
    <xf numFmtId="0" fontId="0" fillId="2" borderId="1" xfId="0" applyFill="1" applyBorder="1" applyAlignment="1">
      <alignment horizontal="center" wrapText="1"/>
    </xf>
    <xf numFmtId="0" fontId="0" fillId="2" borderId="1" xfId="0" applyFill="1" applyBorder="1" applyAlignment="1">
      <alignment horizontal="center"/>
    </xf>
    <xf numFmtId="164" fontId="0" fillId="2" borderId="1" xfId="0" applyNumberFormat="1" applyFill="1" applyBorder="1" applyAlignment="1">
      <alignment horizontal="center"/>
    </xf>
    <xf numFmtId="0" fontId="8" fillId="2" borderId="1" xfId="0" applyFont="1" applyFill="1" applyBorder="1" applyAlignment="1">
      <alignment horizontal="center"/>
    </xf>
    <xf numFmtId="164" fontId="0" fillId="2" borderId="1" xfId="0" applyNumberFormat="1" applyFill="1" applyBorder="1" applyAlignment="1"/>
    <xf numFmtId="164" fontId="0" fillId="2" borderId="1" xfId="0" applyNumberFormat="1" applyFill="1" applyBorder="1" applyAlignment="1">
      <alignment wrapText="1"/>
    </xf>
    <xf numFmtId="0" fontId="8" fillId="2" borderId="1" xfId="0" quotePrefix="1" applyFont="1" applyFill="1" applyBorder="1" applyAlignment="1">
      <alignment horizontal="right"/>
    </xf>
    <xf numFmtId="0" fontId="0" fillId="6" borderId="1" xfId="0" applyFill="1" applyBorder="1" applyAlignment="1">
      <alignment horizontal="center"/>
    </xf>
    <xf numFmtId="0" fontId="0" fillId="0" borderId="1" xfId="0" applyBorder="1" applyAlignment="1">
      <alignment horizontal="left"/>
    </xf>
    <xf numFmtId="0" fontId="0" fillId="0" borderId="1" xfId="0" applyBorder="1" applyAlignment="1">
      <alignment horizontal="left" vertical="top"/>
    </xf>
    <xf numFmtId="0" fontId="0" fillId="0" borderId="1" xfId="0" applyBorder="1" applyAlignment="1">
      <alignment vertical="top" wrapText="1"/>
    </xf>
    <xf numFmtId="0" fontId="8" fillId="5" borderId="1" xfId="0" applyFont="1" applyFill="1" applyBorder="1" applyAlignment="1"/>
    <xf numFmtId="0" fontId="0" fillId="0" borderId="1" xfId="0" applyBorder="1" applyAlignment="1"/>
    <xf numFmtId="0" fontId="0" fillId="0" borderId="1" xfId="0" applyBorder="1" applyAlignment="1">
      <alignment vertical="top"/>
    </xf>
    <xf numFmtId="0" fontId="0" fillId="0" borderId="0" xfId="0" applyAlignment="1">
      <alignment vertical="top"/>
    </xf>
    <xf numFmtId="0" fontId="0" fillId="4" borderId="1" xfId="0" applyFill="1" applyBorder="1" applyAlignment="1">
      <alignment horizontal="left"/>
    </xf>
    <xf numFmtId="0" fontId="13" fillId="7" borderId="1" xfId="0" applyFont="1" applyFill="1" applyBorder="1"/>
    <xf numFmtId="164" fontId="0" fillId="0" borderId="1" xfId="0" applyNumberFormat="1" applyFill="1" applyBorder="1" applyAlignment="1">
      <alignment horizontal="right"/>
    </xf>
    <xf numFmtId="0" fontId="0" fillId="0" borderId="1" xfId="0" applyFill="1" applyBorder="1" applyAlignment="1">
      <alignment horizontal="center"/>
    </xf>
    <xf numFmtId="0" fontId="8" fillId="0" borderId="0" xfId="0" applyFont="1" applyAlignment="1">
      <alignment horizontal="center"/>
    </xf>
    <xf numFmtId="164" fontId="8" fillId="0" borderId="0" xfId="0" applyNumberFormat="1" applyFont="1" applyAlignment="1">
      <alignment horizontal="right"/>
    </xf>
    <xf numFmtId="0" fontId="8" fillId="0" borderId="0" xfId="0" applyFont="1" applyAlignment="1">
      <alignment horizontal="right"/>
    </xf>
    <xf numFmtId="0" fontId="0" fillId="0" borderId="0" xfId="0" applyFill="1"/>
    <xf numFmtId="0" fontId="8" fillId="0" borderId="1" xfId="0" applyFont="1" applyFill="1" applyBorder="1" applyAlignment="1">
      <alignment horizontal="center"/>
    </xf>
    <xf numFmtId="0" fontId="0" fillId="0" borderId="1" xfId="0" applyFill="1" applyBorder="1" applyAlignment="1">
      <alignment horizontal="right"/>
    </xf>
    <xf numFmtId="0" fontId="0" fillId="0" borderId="0" xfId="0" applyFill="1" applyAlignment="1">
      <alignment wrapText="1"/>
    </xf>
    <xf numFmtId="164" fontId="0" fillId="5" borderId="1" xfId="0" applyNumberFormat="1" applyFill="1" applyBorder="1" applyAlignment="1">
      <alignment horizontal="center"/>
    </xf>
    <xf numFmtId="2" fontId="0" fillId="0" borderId="1" xfId="0" applyNumberFormat="1" applyBorder="1" applyAlignment="1">
      <alignment wrapText="1"/>
    </xf>
    <xf numFmtId="2" fontId="0" fillId="0" borderId="1" xfId="0" applyNumberFormat="1" applyFill="1" applyBorder="1" applyAlignment="1">
      <alignment horizontal="right"/>
    </xf>
    <xf numFmtId="2" fontId="0" fillId="4" borderId="1" xfId="0" applyNumberFormat="1" applyFill="1" applyBorder="1" applyAlignment="1">
      <alignment horizontal="right"/>
    </xf>
    <xf numFmtId="2" fontId="0" fillId="5" borderId="1" xfId="0" applyNumberFormat="1" applyFill="1" applyBorder="1" applyAlignment="1">
      <alignment horizontal="right"/>
    </xf>
    <xf numFmtId="2" fontId="0" fillId="6" borderId="1" xfId="0" applyNumberFormat="1" applyFill="1" applyBorder="1" applyAlignment="1">
      <alignment horizontal="right"/>
    </xf>
    <xf numFmtId="2" fontId="8" fillId="5" borderId="1" xfId="0" applyNumberFormat="1" applyFont="1" applyFill="1" applyBorder="1" applyAlignment="1">
      <alignment horizontal="right"/>
    </xf>
    <xf numFmtId="2" fontId="8" fillId="5" borderId="1" xfId="0" applyNumberFormat="1" applyFont="1" applyFill="1" applyBorder="1" applyAlignment="1"/>
    <xf numFmtId="2" fontId="8" fillId="0" borderId="1" xfId="0" applyNumberFormat="1" applyFont="1" applyFill="1" applyBorder="1" applyAlignment="1">
      <alignment horizontal="right"/>
    </xf>
    <xf numFmtId="2" fontId="0" fillId="0" borderId="1" xfId="0" applyNumberFormat="1" applyBorder="1" applyAlignment="1">
      <alignment horizontal="right"/>
    </xf>
    <xf numFmtId="2" fontId="0" fillId="0" borderId="0" xfId="0" applyNumberFormat="1" applyAlignment="1">
      <alignment horizontal="right"/>
    </xf>
    <xf numFmtId="2" fontId="8" fillId="0" borderId="0" xfId="0" applyNumberFormat="1" applyFont="1" applyAlignment="1">
      <alignment horizontal="right"/>
    </xf>
    <xf numFmtId="164" fontId="0" fillId="8" borderId="1" xfId="0" applyNumberFormat="1" applyFill="1" applyBorder="1" applyAlignment="1"/>
    <xf numFmtId="164" fontId="0" fillId="8" borderId="1" xfId="0" applyNumberFormat="1" applyFill="1" applyBorder="1" applyAlignment="1">
      <alignment horizontal="right"/>
    </xf>
    <xf numFmtId="164" fontId="0" fillId="8" borderId="0" xfId="0" applyNumberFormat="1" applyFill="1" applyAlignment="1">
      <alignment horizontal="right"/>
    </xf>
    <xf numFmtId="164" fontId="8" fillId="8" borderId="0" xfId="0" applyNumberFormat="1" applyFont="1" applyFill="1" applyAlignment="1">
      <alignment horizontal="right"/>
    </xf>
    <xf numFmtId="0" fontId="0" fillId="0" borderId="1" xfId="0" applyFill="1" applyBorder="1" applyAlignment="1">
      <alignment horizontal="left"/>
    </xf>
    <xf numFmtId="0" fontId="8" fillId="0" borderId="1" xfId="0" applyFont="1" applyFill="1" applyBorder="1" applyAlignment="1">
      <alignment horizontal="right"/>
    </xf>
    <xf numFmtId="0" fontId="8" fillId="0" borderId="1" xfId="0" quotePrefix="1" applyFont="1" applyFill="1" applyBorder="1" applyAlignment="1">
      <alignment horizontal="right"/>
    </xf>
    <xf numFmtId="2" fontId="8" fillId="0" borderId="1" xfId="0" applyNumberFormat="1" applyFont="1" applyFill="1" applyBorder="1" applyAlignment="1"/>
    <xf numFmtId="2" fontId="0" fillId="0" borderId="0" xfId="0" applyNumberFormat="1" applyFill="1" applyAlignment="1">
      <alignment horizontal="right"/>
    </xf>
    <xf numFmtId="2" fontId="8" fillId="0" borderId="0" xfId="0" applyNumberFormat="1" applyFont="1" applyFill="1" applyAlignment="1">
      <alignment horizontal="right"/>
    </xf>
    <xf numFmtId="2" fontId="0" fillId="2" borderId="1" xfId="0" applyNumberFormat="1" applyFill="1" applyBorder="1" applyAlignment="1"/>
    <xf numFmtId="14" fontId="8" fillId="0" borderId="0" xfId="0" quotePrefix="1" applyNumberFormat="1" applyFont="1" applyAlignment="1">
      <alignment horizontal="right"/>
    </xf>
    <xf numFmtId="0" fontId="0" fillId="0" borderId="1" xfId="0" applyBorder="1" applyAlignment="1">
      <alignment horizontal="left" vertical="top" wrapText="1"/>
    </xf>
    <xf numFmtId="164" fontId="0" fillId="4" borderId="1" xfId="0" applyNumberFormat="1" applyFill="1" applyBorder="1" applyAlignment="1">
      <alignment horizontal="left"/>
    </xf>
    <xf numFmtId="0" fontId="8" fillId="5" borderId="1" xfId="0" applyFont="1" applyFill="1" applyBorder="1" applyAlignment="1">
      <alignment horizontal="left"/>
    </xf>
    <xf numFmtId="2" fontId="0" fillId="6" borderId="1" xfId="0" applyNumberFormat="1" applyFill="1" applyBorder="1" applyAlignment="1">
      <alignment horizontal="left"/>
    </xf>
    <xf numFmtId="0" fontId="0" fillId="5" borderId="1" xfId="0" applyFill="1" applyBorder="1" applyAlignment="1">
      <alignment horizontal="left" vertical="top"/>
    </xf>
    <xf numFmtId="0" fontId="0" fillId="0" borderId="0" xfId="0" applyAlignment="1">
      <alignment horizontal="left" vertical="top"/>
    </xf>
    <xf numFmtId="0" fontId="0" fillId="6" borderId="1" xfId="0" applyFill="1" applyBorder="1" applyAlignment="1">
      <alignment horizontal="left" vertical="top"/>
    </xf>
    <xf numFmtId="164" fontId="0" fillId="8" borderId="0" xfId="0" applyNumberFormat="1" applyFill="1" applyBorder="1" applyAlignment="1">
      <alignment horizontal="right"/>
    </xf>
    <xf numFmtId="2" fontId="0" fillId="2" borderId="1" xfId="0" applyNumberFormat="1" applyFill="1" applyBorder="1" applyAlignment="1">
      <alignment horizontal="right"/>
    </xf>
    <xf numFmtId="164" fontId="0" fillId="0" borderId="1" xfId="0" applyNumberFormat="1" applyFill="1" applyBorder="1" applyAlignment="1">
      <alignment horizontal="center"/>
    </xf>
    <xf numFmtId="2" fontId="8" fillId="6" borderId="1" xfId="0" applyNumberFormat="1" applyFont="1" applyFill="1" applyBorder="1" applyAlignment="1">
      <alignment horizontal="right"/>
    </xf>
    <xf numFmtId="0" fontId="0" fillId="0" borderId="0" xfId="0" applyBorder="1"/>
    <xf numFmtId="164" fontId="8" fillId="0" borderId="1" xfId="0" applyNumberFormat="1" applyFont="1" applyFill="1" applyBorder="1" applyAlignment="1">
      <alignment horizontal="right"/>
    </xf>
    <xf numFmtId="14" fontId="8" fillId="0" borderId="1" xfId="0" quotePrefix="1" applyNumberFormat="1" applyFont="1" applyFill="1" applyBorder="1" applyAlignment="1">
      <alignment horizontal="right"/>
    </xf>
    <xf numFmtId="0" fontId="1" fillId="0" borderId="1" xfId="1" applyFont="1" applyBorder="1" applyAlignment="1">
      <alignment horizontal="center" vertical="top" wrapText="1"/>
    </xf>
    <xf numFmtId="164" fontId="1" fillId="0" borderId="1" xfId="1" applyNumberFormat="1" applyFont="1" applyBorder="1" applyAlignment="1">
      <alignment horizontal="center" vertical="top" textRotation="90" wrapText="1"/>
    </xf>
    <xf numFmtId="0" fontId="1" fillId="0" borderId="1" xfId="1" applyFont="1" applyBorder="1" applyAlignment="1">
      <alignment horizontal="center" vertical="top" textRotation="90" wrapText="1"/>
    </xf>
    <xf numFmtId="0" fontId="1" fillId="0" borderId="1" xfId="1" applyFont="1" applyBorder="1" applyAlignment="1">
      <alignment vertical="top" wrapText="1"/>
    </xf>
    <xf numFmtId="14" fontId="1" fillId="0" borderId="1" xfId="1" applyNumberFormat="1" applyFont="1" applyBorder="1" applyAlignment="1">
      <alignment vertical="top" wrapText="1"/>
    </xf>
    <xf numFmtId="164" fontId="1" fillId="0" borderId="1" xfId="1" applyNumberFormat="1" applyFont="1" applyBorder="1" applyAlignment="1">
      <alignment vertical="top" wrapText="1"/>
    </xf>
    <xf numFmtId="0" fontId="4" fillId="0" borderId="1" xfId="1" applyFont="1" applyBorder="1" applyAlignment="1">
      <alignment horizontal="left" vertical="top"/>
    </xf>
    <xf numFmtId="0" fontId="1" fillId="0" borderId="1" xfId="1" applyFont="1" applyBorder="1" applyAlignment="1">
      <alignment horizontal="centerContinuous" vertical="top" wrapText="1"/>
    </xf>
    <xf numFmtId="0" fontId="5" fillId="0" borderId="1" xfId="1" applyFont="1" applyBorder="1" applyAlignment="1">
      <alignment wrapText="1"/>
    </xf>
    <xf numFmtId="14" fontId="6" fillId="0" borderId="1" xfId="1" applyNumberFormat="1" applyFont="1" applyBorder="1" applyAlignment="1">
      <alignment horizontal="left" vertical="top"/>
    </xf>
    <xf numFmtId="164" fontId="6" fillId="0" borderId="1" xfId="1" applyNumberFormat="1" applyFont="1" applyBorder="1" applyAlignment="1">
      <alignment horizontal="center" vertical="top" wrapText="1"/>
    </xf>
    <xf numFmtId="14" fontId="6" fillId="0" borderId="1" xfId="1" applyNumberFormat="1" applyFont="1" applyBorder="1" applyAlignment="1">
      <alignment horizontal="center" vertical="top" wrapText="1"/>
    </xf>
    <xf numFmtId="0" fontId="6" fillId="0" borderId="1" xfId="1" applyFont="1" applyBorder="1" applyAlignment="1">
      <alignment horizontal="left" vertical="top"/>
    </xf>
    <xf numFmtId="0" fontId="6" fillId="0" borderId="1" xfId="1" applyFont="1" applyBorder="1" applyAlignment="1">
      <alignment horizontal="center" vertical="top" wrapText="1"/>
    </xf>
    <xf numFmtId="0" fontId="1" fillId="0" borderId="1" xfId="1" quotePrefix="1" applyFont="1" applyBorder="1" applyAlignment="1">
      <alignment vertical="top" wrapText="1"/>
    </xf>
    <xf numFmtId="14" fontId="4" fillId="0" borderId="1" xfId="1" applyNumberFormat="1" applyFont="1" applyBorder="1" applyAlignment="1">
      <alignment horizontal="left" vertical="top"/>
    </xf>
    <xf numFmtId="0" fontId="0" fillId="5" borderId="2" xfId="0" applyFill="1" applyBorder="1" applyAlignment="1">
      <alignment horizontal="center"/>
    </xf>
    <xf numFmtId="0" fontId="0" fillId="0" borderId="6" xfId="0" applyBorder="1" applyAlignment="1">
      <alignment horizontal="center"/>
    </xf>
    <xf numFmtId="0" fontId="0" fillId="9" borderId="2" xfId="0" applyFill="1" applyBorder="1" applyAlignment="1">
      <alignment horizontal="center"/>
    </xf>
    <xf numFmtId="167" fontId="8" fillId="9" borderId="14" xfId="0" applyNumberFormat="1" applyFont="1" applyFill="1" applyBorder="1"/>
    <xf numFmtId="167" fontId="0" fillId="2" borderId="6" xfId="0" applyNumberFormat="1" applyFill="1" applyBorder="1" applyAlignment="1">
      <alignment horizontal="center"/>
    </xf>
    <xf numFmtId="167" fontId="0" fillId="9" borderId="2" xfId="0" applyNumberFormat="1" applyFill="1" applyBorder="1" applyAlignment="1">
      <alignment horizontal="center"/>
    </xf>
    <xf numFmtId="167" fontId="0" fillId="10" borderId="6" xfId="0" applyNumberFormat="1" applyFill="1" applyBorder="1" applyAlignment="1">
      <alignment horizontal="center"/>
    </xf>
    <xf numFmtId="167" fontId="0" fillId="9" borderId="14" xfId="0" applyNumberFormat="1" applyFill="1" applyBorder="1"/>
    <xf numFmtId="167" fontId="0" fillId="0" borderId="6" xfId="0" applyNumberFormat="1" applyFill="1" applyBorder="1" applyAlignment="1">
      <alignment horizontal="center"/>
    </xf>
    <xf numFmtId="167" fontId="0" fillId="11" borderId="2" xfId="0" applyNumberFormat="1" applyFill="1" applyBorder="1" applyAlignment="1">
      <alignment horizontal="center"/>
    </xf>
    <xf numFmtId="167" fontId="0" fillId="11" borderId="14" xfId="0" applyNumberFormat="1" applyFill="1" applyBorder="1"/>
    <xf numFmtId="167" fontId="8" fillId="0" borderId="6" xfId="0" applyNumberFormat="1" applyFont="1" applyFill="1" applyBorder="1" applyAlignment="1">
      <alignment horizontal="center"/>
    </xf>
    <xf numFmtId="167" fontId="8" fillId="0" borderId="14" xfId="0" applyNumberFormat="1" applyFont="1" applyFill="1" applyBorder="1"/>
    <xf numFmtId="167" fontId="0" fillId="0" borderId="2" xfId="0" applyNumberFormat="1" applyFill="1" applyBorder="1" applyAlignment="1">
      <alignment horizontal="center"/>
    </xf>
    <xf numFmtId="0" fontId="0" fillId="0" borderId="6" xfId="0" applyFill="1" applyBorder="1" applyAlignment="1">
      <alignment horizontal="center"/>
    </xf>
    <xf numFmtId="167" fontId="8" fillId="11" borderId="14" xfId="0" applyNumberFormat="1" applyFont="1" applyFill="1" applyBorder="1"/>
    <xf numFmtId="167" fontId="0" fillId="0" borderId="14" xfId="0" applyNumberFormat="1" applyFill="1" applyBorder="1"/>
    <xf numFmtId="167" fontId="8" fillId="11" borderId="2" xfId="0" applyNumberFormat="1" applyFont="1" applyFill="1" applyBorder="1" applyAlignment="1">
      <alignment horizontal="center"/>
    </xf>
    <xf numFmtId="0" fontId="8" fillId="0" borderId="6" xfId="0" applyFont="1" applyFill="1" applyBorder="1" applyAlignment="1">
      <alignment horizontal="center"/>
    </xf>
    <xf numFmtId="0" fontId="8" fillId="9" borderId="2" xfId="0" applyFont="1" applyFill="1" applyBorder="1" applyAlignment="1">
      <alignment horizontal="center"/>
    </xf>
    <xf numFmtId="0" fontId="8" fillId="0" borderId="6" xfId="0" applyFont="1" applyBorder="1" applyAlignment="1">
      <alignment horizontal="center"/>
    </xf>
    <xf numFmtId="0" fontId="0" fillId="11" borderId="2" xfId="0" applyFill="1" applyBorder="1" applyAlignment="1">
      <alignment horizontal="center"/>
    </xf>
    <xf numFmtId="0" fontId="8" fillId="11" borderId="2" xfId="0" applyFont="1" applyFill="1" applyBorder="1" applyAlignment="1">
      <alignment horizontal="center"/>
    </xf>
    <xf numFmtId="167" fontId="8" fillId="9" borderId="2" xfId="0" applyNumberFormat="1" applyFont="1" applyFill="1" applyBorder="1" applyAlignment="1">
      <alignment horizontal="center"/>
    </xf>
    <xf numFmtId="167" fontId="0" fillId="12" borderId="6" xfId="0" applyNumberFormat="1" applyFill="1" applyBorder="1" applyAlignment="1">
      <alignment horizontal="center"/>
    </xf>
    <xf numFmtId="167" fontId="8" fillId="0" borderId="2" xfId="0" applyNumberFormat="1" applyFont="1" applyFill="1" applyBorder="1" applyAlignment="1">
      <alignment horizontal="center"/>
    </xf>
    <xf numFmtId="167" fontId="0" fillId="0" borderId="6" xfId="0" applyNumberFormat="1" applyFont="1" applyFill="1" applyBorder="1" applyAlignment="1">
      <alignment horizontal="center"/>
    </xf>
    <xf numFmtId="167" fontId="0" fillId="0" borderId="2" xfId="0" applyNumberFormat="1" applyFont="1" applyFill="1" applyBorder="1" applyAlignment="1">
      <alignment horizontal="center"/>
    </xf>
    <xf numFmtId="167" fontId="8" fillId="9" borderId="16" xfId="0" applyNumberFormat="1" applyFont="1" applyFill="1" applyBorder="1"/>
    <xf numFmtId="0" fontId="0" fillId="0" borderId="7" xfId="0" applyBorder="1" applyAlignment="1">
      <alignment horizontal="center"/>
    </xf>
    <xf numFmtId="0" fontId="0" fillId="0" borderId="15" xfId="0" applyFill="1" applyBorder="1" applyAlignment="1">
      <alignment horizontal="center"/>
    </xf>
    <xf numFmtId="0" fontId="0" fillId="0" borderId="16" xfId="0" applyFill="1" applyBorder="1"/>
    <xf numFmtId="0" fontId="8" fillId="0" borderId="7" xfId="0" applyFont="1" applyBorder="1" applyAlignment="1">
      <alignment horizontal="center"/>
    </xf>
    <xf numFmtId="0" fontId="8" fillId="0" borderId="15" xfId="0" applyFont="1" applyFill="1" applyBorder="1" applyAlignment="1">
      <alignment horizontal="center"/>
    </xf>
    <xf numFmtId="0" fontId="8" fillId="9" borderId="15" xfId="0" applyFont="1" applyFill="1" applyBorder="1" applyAlignment="1">
      <alignment horizontal="center"/>
    </xf>
    <xf numFmtId="167" fontId="8" fillId="0" borderId="16" xfId="0" applyNumberFormat="1" applyFont="1" applyFill="1" applyBorder="1"/>
    <xf numFmtId="167" fontId="8" fillId="0" borderId="7" xfId="0" applyNumberFormat="1" applyFont="1" applyFill="1" applyBorder="1" applyAlignment="1">
      <alignment horizontal="center"/>
    </xf>
    <xf numFmtId="0" fontId="0" fillId="0" borderId="15" xfId="0" applyFill="1" applyBorder="1"/>
    <xf numFmtId="167" fontId="0" fillId="0" borderId="7" xfId="0" applyNumberFormat="1" applyFont="1" applyFill="1" applyBorder="1" applyAlignment="1">
      <alignment horizontal="center"/>
    </xf>
    <xf numFmtId="167" fontId="0" fillId="0" borderId="15" xfId="0" applyNumberFormat="1" applyFont="1" applyFill="1" applyBorder="1" applyAlignment="1">
      <alignment horizontal="center"/>
    </xf>
    <xf numFmtId="0" fontId="0" fillId="0" borderId="0" xfId="0" applyFill="1" applyAlignment="1">
      <alignment horizontal="center"/>
    </xf>
    <xf numFmtId="167" fontId="0" fillId="0" borderId="12" xfId="0" applyNumberFormat="1" applyFill="1" applyBorder="1" applyAlignment="1">
      <alignment horizontal="center"/>
    </xf>
    <xf numFmtId="167" fontId="8" fillId="0" borderId="2" xfId="0" applyNumberFormat="1" applyFont="1" applyFill="1" applyBorder="1"/>
    <xf numFmtId="167" fontId="8" fillId="0" borderId="15" xfId="0" applyNumberFormat="1" applyFont="1" applyFill="1" applyBorder="1"/>
    <xf numFmtId="167" fontId="0" fillId="0" borderId="2" xfId="0" applyNumberFormat="1" applyFill="1" applyBorder="1"/>
    <xf numFmtId="167" fontId="8" fillId="0" borderId="17" xfId="0" applyNumberFormat="1" applyFont="1" applyFill="1" applyBorder="1"/>
    <xf numFmtId="167" fontId="8" fillId="13" borderId="2" xfId="0" applyNumberFormat="1" applyFont="1" applyFill="1" applyBorder="1"/>
    <xf numFmtId="167" fontId="8" fillId="14" borderId="2" xfId="0" applyNumberFormat="1" applyFont="1" applyFill="1" applyBorder="1"/>
    <xf numFmtId="167" fontId="16" fillId="15" borderId="2" xfId="2" applyNumberFormat="1" applyFill="1" applyBorder="1"/>
    <xf numFmtId="167" fontId="8" fillId="15" borderId="2" xfId="0" applyNumberFormat="1" applyFont="1" applyFill="1" applyBorder="1"/>
    <xf numFmtId="0" fontId="10" fillId="0" borderId="0" xfId="0" applyFont="1" applyAlignment="1">
      <alignment horizontal="center"/>
    </xf>
    <xf numFmtId="0" fontId="10" fillId="0" borderId="0" xfId="0" applyFont="1" applyAlignment="1">
      <alignment horizontal="center" vertical="center"/>
    </xf>
    <xf numFmtId="165" fontId="10" fillId="0" borderId="0" xfId="0" applyNumberFormat="1" applyFont="1" applyAlignment="1">
      <alignment horizontal="left"/>
    </xf>
    <xf numFmtId="2" fontId="10" fillId="0" borderId="0" xfId="0" applyNumberFormat="1" applyFont="1" applyAlignment="1">
      <alignment horizontal="center"/>
    </xf>
    <xf numFmtId="167" fontId="8" fillId="15" borderId="14" xfId="0" applyNumberFormat="1" applyFont="1" applyFill="1" applyBorder="1"/>
    <xf numFmtId="14" fontId="10" fillId="0" borderId="0" xfId="0" applyNumberFormat="1" applyFont="1" applyAlignment="1">
      <alignment horizontal="center"/>
    </xf>
    <xf numFmtId="14" fontId="10" fillId="0" borderId="0" xfId="0" applyNumberFormat="1" applyFont="1"/>
    <xf numFmtId="0" fontId="10" fillId="0" borderId="0" xfId="0" applyFont="1" applyAlignment="1">
      <alignment horizontal="center" wrapText="1"/>
    </xf>
    <xf numFmtId="167" fontId="17" fillId="11" borderId="14" xfId="0" applyNumberFormat="1" applyFont="1" applyFill="1" applyBorder="1"/>
    <xf numFmtId="167" fontId="17" fillId="0" borderId="14" xfId="0" applyNumberFormat="1" applyFont="1" applyFill="1" applyBorder="1"/>
    <xf numFmtId="167" fontId="16" fillId="0" borderId="2" xfId="2" applyNumberFormat="1" applyFill="1" applyBorder="1"/>
    <xf numFmtId="167" fontId="18" fillId="16" borderId="2" xfId="0" applyNumberFormat="1" applyFont="1" applyFill="1" applyBorder="1"/>
    <xf numFmtId="167" fontId="8" fillId="17" borderId="1" xfId="0" applyNumberFormat="1" applyFont="1" applyFill="1" applyBorder="1"/>
    <xf numFmtId="167" fontId="0" fillId="9" borderId="1" xfId="0" applyNumberFormat="1" applyFill="1" applyBorder="1"/>
    <xf numFmtId="167" fontId="8" fillId="0" borderId="1" xfId="0" applyNumberFormat="1" applyFont="1" applyFill="1" applyBorder="1"/>
    <xf numFmtId="0" fontId="0" fillId="9" borderId="1" xfId="0" applyNumberFormat="1" applyFill="1" applyBorder="1"/>
    <xf numFmtId="0" fontId="0" fillId="0" borderId="0" xfId="0" applyNumberFormat="1"/>
    <xf numFmtId="0" fontId="8" fillId="17" borderId="1" xfId="0" applyNumberFormat="1" applyFont="1" applyFill="1" applyBorder="1"/>
    <xf numFmtId="0" fontId="0" fillId="0" borderId="21" xfId="0" applyFill="1" applyBorder="1" applyAlignment="1">
      <alignment horizontal="left"/>
    </xf>
    <xf numFmtId="0" fontId="0" fillId="0" borderId="21" xfId="0" applyFill="1" applyBorder="1" applyAlignment="1">
      <alignment horizontal="left" vertical="top"/>
    </xf>
    <xf numFmtId="164" fontId="0" fillId="0" borderId="0" xfId="0" applyNumberFormat="1" applyAlignment="1">
      <alignment horizontal="center"/>
    </xf>
    <xf numFmtId="14" fontId="0" fillId="0" borderId="0" xfId="0" quotePrefix="1" applyNumberFormat="1" applyAlignment="1">
      <alignment horizontal="right"/>
    </xf>
    <xf numFmtId="2" fontId="10" fillId="0" borderId="0" xfId="0" applyNumberFormat="1" applyFont="1" applyAlignment="1"/>
    <xf numFmtId="0" fontId="10" fillId="0" borderId="0" xfId="0" applyFont="1" applyBorder="1" applyAlignment="1">
      <alignment wrapText="1"/>
    </xf>
    <xf numFmtId="0" fontId="0" fillId="0" borderId="0" xfId="0" applyAlignment="1">
      <alignment vertical="top" wrapText="1"/>
    </xf>
    <xf numFmtId="0" fontId="8" fillId="0" borderId="1" xfId="0" applyFont="1" applyBorder="1" applyAlignment="1">
      <alignment vertical="top" wrapText="1"/>
    </xf>
    <xf numFmtId="0" fontId="8" fillId="0" borderId="0" xfId="0" applyFont="1" applyFill="1" applyBorder="1" applyAlignment="1">
      <alignment horizontal="left"/>
    </xf>
    <xf numFmtId="0" fontId="0" fillId="0" borderId="21" xfId="0" applyFont="1" applyFill="1" applyBorder="1" applyAlignment="1">
      <alignment horizontal="left" vertical="top"/>
    </xf>
    <xf numFmtId="0" fontId="8" fillId="0" borderId="0" xfId="0" applyFont="1" applyAlignment="1">
      <alignment vertical="top" wrapText="1"/>
    </xf>
    <xf numFmtId="0" fontId="0" fillId="0" borderId="0" xfId="0" applyFill="1" applyBorder="1"/>
    <xf numFmtId="0" fontId="0" fillId="13" borderId="0" xfId="0" applyFill="1" applyBorder="1"/>
    <xf numFmtId="167" fontId="8" fillId="9" borderId="1" xfId="0" applyNumberFormat="1" applyFont="1" applyFill="1" applyBorder="1"/>
    <xf numFmtId="167" fontId="0" fillId="0" borderId="0" xfId="0" applyNumberFormat="1" applyFill="1" applyBorder="1"/>
    <xf numFmtId="0" fontId="0" fillId="13" borderId="1" xfId="0" applyFill="1" applyBorder="1" applyAlignment="1">
      <alignment horizontal="center"/>
    </xf>
    <xf numFmtId="167" fontId="8" fillId="0" borderId="0" xfId="0" applyNumberFormat="1" applyFont="1" applyFill="1" applyBorder="1"/>
    <xf numFmtId="0" fontId="0" fillId="0" borderId="21" xfId="0" applyFill="1" applyBorder="1"/>
    <xf numFmtId="0" fontId="8" fillId="0" borderId="21" xfId="0" applyFont="1" applyFill="1" applyBorder="1"/>
    <xf numFmtId="0" fontId="0" fillId="0" borderId="0" xfId="0" applyAlignment="1">
      <alignment horizontal="left"/>
    </xf>
    <xf numFmtId="0" fontId="0" fillId="0" borderId="22" xfId="0" applyBorder="1" applyAlignment="1">
      <alignment wrapText="1"/>
    </xf>
    <xf numFmtId="3" fontId="0" fillId="0" borderId="0" xfId="0" quotePrefix="1" applyNumberFormat="1" applyAlignment="1">
      <alignment horizontal="center"/>
    </xf>
    <xf numFmtId="0" fontId="0" fillId="0" borderId="0" xfId="0" quotePrefix="1" applyAlignment="1">
      <alignment horizontal="right"/>
    </xf>
    <xf numFmtId="20" fontId="10" fillId="0" borderId="0" xfId="0" applyNumberFormat="1" applyFont="1"/>
    <xf numFmtId="2" fontId="0" fillId="0" borderId="10" xfId="0" applyNumberFormat="1" applyFill="1" applyBorder="1" applyAlignment="1">
      <alignment horizontal="left" wrapText="1"/>
    </xf>
    <xf numFmtId="2" fontId="0" fillId="0" borderId="2" xfId="0" applyNumberFormat="1" applyFill="1" applyBorder="1" applyAlignment="1">
      <alignment horizontal="left" wrapText="1"/>
    </xf>
    <xf numFmtId="2" fontId="0" fillId="0" borderId="3" xfId="0" applyNumberFormat="1" applyFill="1" applyBorder="1" applyAlignment="1">
      <alignment horizontal="left" wrapText="1"/>
    </xf>
    <xf numFmtId="0" fontId="10" fillId="0" borderId="0" xfId="0" applyFont="1" applyBorder="1" applyAlignment="1">
      <alignment horizontal="left" vertical="top" wrapText="1"/>
    </xf>
    <xf numFmtId="167" fontId="0" fillId="0" borderId="4" xfId="0" applyNumberFormat="1" applyFill="1" applyBorder="1" applyAlignment="1">
      <alignment horizontal="center"/>
    </xf>
    <xf numFmtId="167" fontId="0" fillId="0" borderId="12" xfId="0" applyNumberFormat="1" applyFill="1" applyBorder="1" applyAlignment="1">
      <alignment horizontal="center"/>
    </xf>
    <xf numFmtId="167" fontId="0" fillId="0" borderId="13" xfId="0" applyNumberFormat="1" applyFill="1" applyBorder="1" applyAlignment="1">
      <alignment horizontal="center"/>
    </xf>
    <xf numFmtId="167" fontId="0" fillId="0" borderId="18" xfId="0" applyNumberFormat="1" applyFill="1" applyBorder="1" applyAlignment="1">
      <alignment horizontal="center" vertical="center" wrapText="1"/>
    </xf>
    <xf numFmtId="167" fontId="0" fillId="0" borderId="19" xfId="0" applyNumberFormat="1" applyFill="1" applyBorder="1" applyAlignment="1">
      <alignment horizontal="center" vertical="center" wrapText="1"/>
    </xf>
    <xf numFmtId="167" fontId="0" fillId="0" borderId="20" xfId="0" applyNumberFormat="1" applyFill="1" applyBorder="1" applyAlignment="1">
      <alignment horizontal="center" vertical="center" wrapText="1"/>
    </xf>
    <xf numFmtId="167" fontId="0" fillId="0" borderId="18" xfId="0" applyNumberFormat="1" applyFill="1" applyBorder="1" applyAlignment="1">
      <alignment horizontal="center" vertical="center"/>
    </xf>
    <xf numFmtId="167" fontId="0" fillId="0" borderId="19" xfId="0" applyNumberFormat="1" applyFill="1" applyBorder="1" applyAlignment="1">
      <alignment horizontal="center" vertical="center"/>
    </xf>
    <xf numFmtId="167" fontId="0" fillId="0" borderId="20" xfId="0" applyNumberFormat="1" applyFill="1" applyBorder="1" applyAlignment="1">
      <alignment horizontal="center" vertical="center"/>
    </xf>
    <xf numFmtId="0" fontId="8" fillId="0" borderId="0" xfId="0" applyFont="1" applyAlignment="1">
      <alignment horizontal="left" vertical="top" wrapText="1"/>
    </xf>
    <xf numFmtId="0" fontId="10" fillId="0" borderId="11" xfId="0" applyFont="1" applyBorder="1" applyAlignment="1">
      <alignment horizontal="left" vertical="top" wrapText="1"/>
    </xf>
    <xf numFmtId="0" fontId="1" fillId="0" borderId="0" xfId="1" applyFont="1" applyAlignment="1">
      <alignment horizontal="left" vertical="top" wrapText="1"/>
    </xf>
  </cellXfs>
  <cellStyles count="3">
    <cellStyle name="Lien hypertexte" xfId="2" builtinId="8"/>
    <cellStyle name="Normal" xfId="0" builtinId="0"/>
    <cellStyle name="Normal_VOLES"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1622932423622428E-2"/>
          <c:y val="4.6189545724802897E-2"/>
          <c:w val="0.82577619762817811"/>
          <c:h val="0.80138861832533015"/>
        </c:manualLayout>
      </c:layout>
      <c:lineChart>
        <c:grouping val="standard"/>
        <c:varyColors val="0"/>
        <c:ser>
          <c:idx val="0"/>
          <c:order val="0"/>
          <c:tx>
            <c:strRef>
              <c:f>'2019'!$N$1</c:f>
              <c:strCache>
                <c:ptCount val="1"/>
                <c:pt idx="0">
                  <c:v>Durée</c:v>
                </c:pt>
              </c:strCache>
            </c:strRef>
          </c:tx>
          <c:cat>
            <c:numRef>
              <c:f>'2018'!$C$2:$C$120</c:f>
              <c:numCache>
                <c:formatCode>m/d/yyyy</c:formatCode>
                <c:ptCount val="93"/>
                <c:pt idx="0">
                  <c:v>43118</c:v>
                </c:pt>
                <c:pt idx="1">
                  <c:v>43118</c:v>
                </c:pt>
                <c:pt idx="2">
                  <c:v>43124</c:v>
                </c:pt>
                <c:pt idx="3">
                  <c:v>43130</c:v>
                </c:pt>
                <c:pt idx="4">
                  <c:v>43130</c:v>
                </c:pt>
                <c:pt idx="5">
                  <c:v>43132</c:v>
                </c:pt>
                <c:pt idx="6">
                  <c:v>43132</c:v>
                </c:pt>
                <c:pt idx="7">
                  <c:v>43134</c:v>
                </c:pt>
                <c:pt idx="8">
                  <c:v>43137</c:v>
                </c:pt>
                <c:pt idx="9">
                  <c:v>43140</c:v>
                </c:pt>
                <c:pt idx="10">
                  <c:v>43141</c:v>
                </c:pt>
                <c:pt idx="11">
                  <c:v>43142</c:v>
                </c:pt>
                <c:pt idx="12">
                  <c:v>43143</c:v>
                </c:pt>
                <c:pt idx="13">
                  <c:v>43144</c:v>
                </c:pt>
                <c:pt idx="14">
                  <c:v>43144</c:v>
                </c:pt>
                <c:pt idx="15">
                  <c:v>43145</c:v>
                </c:pt>
                <c:pt idx="16">
                  <c:v>43145</c:v>
                </c:pt>
                <c:pt idx="17">
                  <c:v>43156</c:v>
                </c:pt>
                <c:pt idx="18">
                  <c:v>43158</c:v>
                </c:pt>
                <c:pt idx="19">
                  <c:v>43168</c:v>
                </c:pt>
                <c:pt idx="20">
                  <c:v>43174</c:v>
                </c:pt>
                <c:pt idx="21">
                  <c:v>43174</c:v>
                </c:pt>
                <c:pt idx="22">
                  <c:v>43189</c:v>
                </c:pt>
                <c:pt idx="23">
                  <c:v>43189</c:v>
                </c:pt>
                <c:pt idx="24">
                  <c:v>43189</c:v>
                </c:pt>
                <c:pt idx="25">
                  <c:v>43191</c:v>
                </c:pt>
                <c:pt idx="26">
                  <c:v>43192</c:v>
                </c:pt>
                <c:pt idx="27">
                  <c:v>43195</c:v>
                </c:pt>
                <c:pt idx="28">
                  <c:v>43196</c:v>
                </c:pt>
                <c:pt idx="29">
                  <c:v>43204</c:v>
                </c:pt>
                <c:pt idx="30">
                  <c:v>43204</c:v>
                </c:pt>
                <c:pt idx="31">
                  <c:v>43205</c:v>
                </c:pt>
                <c:pt idx="32">
                  <c:v>43208</c:v>
                </c:pt>
                <c:pt idx="33">
                  <c:v>43209</c:v>
                </c:pt>
                <c:pt idx="34">
                  <c:v>43210</c:v>
                </c:pt>
                <c:pt idx="35">
                  <c:v>43243</c:v>
                </c:pt>
                <c:pt idx="36">
                  <c:v>43259</c:v>
                </c:pt>
                <c:pt idx="37">
                  <c:v>43267</c:v>
                </c:pt>
                <c:pt idx="38">
                  <c:v>43269</c:v>
                </c:pt>
                <c:pt idx="39">
                  <c:v>43270</c:v>
                </c:pt>
                <c:pt idx="40">
                  <c:v>43271</c:v>
                </c:pt>
                <c:pt idx="41">
                  <c:v>43272</c:v>
                </c:pt>
                <c:pt idx="42">
                  <c:v>43276</c:v>
                </c:pt>
                <c:pt idx="43">
                  <c:v>43277</c:v>
                </c:pt>
                <c:pt idx="44">
                  <c:v>43312</c:v>
                </c:pt>
                <c:pt idx="45">
                  <c:v>43314</c:v>
                </c:pt>
                <c:pt idx="46">
                  <c:v>43315</c:v>
                </c:pt>
                <c:pt idx="47">
                  <c:v>43315</c:v>
                </c:pt>
                <c:pt idx="48">
                  <c:v>43353</c:v>
                </c:pt>
                <c:pt idx="49">
                  <c:v>43353</c:v>
                </c:pt>
                <c:pt idx="50">
                  <c:v>43354</c:v>
                </c:pt>
                <c:pt idx="51">
                  <c:v>43357</c:v>
                </c:pt>
                <c:pt idx="52">
                  <c:v>43357</c:v>
                </c:pt>
                <c:pt idx="53">
                  <c:v>43358</c:v>
                </c:pt>
                <c:pt idx="54">
                  <c:v>43358</c:v>
                </c:pt>
                <c:pt idx="55">
                  <c:v>43359</c:v>
                </c:pt>
                <c:pt idx="56">
                  <c:v>43359</c:v>
                </c:pt>
                <c:pt idx="57">
                  <c:v>43359</c:v>
                </c:pt>
                <c:pt idx="58">
                  <c:v>43360</c:v>
                </c:pt>
                <c:pt idx="59">
                  <c:v>43360</c:v>
                </c:pt>
                <c:pt idx="60">
                  <c:v>43361</c:v>
                </c:pt>
                <c:pt idx="61">
                  <c:v>43362</c:v>
                </c:pt>
                <c:pt idx="62">
                  <c:v>43363</c:v>
                </c:pt>
                <c:pt idx="63">
                  <c:v>43371</c:v>
                </c:pt>
                <c:pt idx="64">
                  <c:v>43371</c:v>
                </c:pt>
                <c:pt idx="65">
                  <c:v>43375</c:v>
                </c:pt>
                <c:pt idx="66">
                  <c:v>43375</c:v>
                </c:pt>
                <c:pt idx="67">
                  <c:v>43376</c:v>
                </c:pt>
                <c:pt idx="68">
                  <c:v>43377</c:v>
                </c:pt>
                <c:pt idx="69">
                  <c:v>43378</c:v>
                </c:pt>
                <c:pt idx="70">
                  <c:v>43385</c:v>
                </c:pt>
                <c:pt idx="71">
                  <c:v>43386</c:v>
                </c:pt>
                <c:pt idx="72">
                  <c:v>43386</c:v>
                </c:pt>
                <c:pt idx="73">
                  <c:v>43389</c:v>
                </c:pt>
                <c:pt idx="74">
                  <c:v>43393</c:v>
                </c:pt>
                <c:pt idx="75">
                  <c:v>43394</c:v>
                </c:pt>
                <c:pt idx="76">
                  <c:v>43395</c:v>
                </c:pt>
                <c:pt idx="77">
                  <c:v>43396</c:v>
                </c:pt>
                <c:pt idx="78">
                  <c:v>43418</c:v>
                </c:pt>
                <c:pt idx="79">
                  <c:v>43424</c:v>
                </c:pt>
                <c:pt idx="80">
                  <c:v>43424</c:v>
                </c:pt>
                <c:pt idx="81">
                  <c:v>43425</c:v>
                </c:pt>
                <c:pt idx="82">
                  <c:v>43425</c:v>
                </c:pt>
                <c:pt idx="83">
                  <c:v>43425</c:v>
                </c:pt>
                <c:pt idx="84">
                  <c:v>43428</c:v>
                </c:pt>
                <c:pt idx="85">
                  <c:v>43428</c:v>
                </c:pt>
                <c:pt idx="86">
                  <c:v>43429</c:v>
                </c:pt>
                <c:pt idx="87">
                  <c:v>43429</c:v>
                </c:pt>
                <c:pt idx="88">
                  <c:v>43430</c:v>
                </c:pt>
                <c:pt idx="89">
                  <c:v>43430</c:v>
                </c:pt>
                <c:pt idx="90">
                  <c:v>43438</c:v>
                </c:pt>
                <c:pt idx="91">
                  <c:v>43439</c:v>
                </c:pt>
                <c:pt idx="92">
                  <c:v>43445</c:v>
                </c:pt>
              </c:numCache>
            </c:numRef>
          </c:cat>
          <c:val>
            <c:numRef>
              <c:f>'2019'!$N$2:$N$121</c:f>
              <c:numCache>
                <c:formatCode>General</c:formatCode>
                <c:ptCount val="62"/>
                <c:pt idx="0">
                  <c:v>15</c:v>
                </c:pt>
                <c:pt idx="1">
                  <c:v>227</c:v>
                </c:pt>
                <c:pt idx="2">
                  <c:v>235</c:v>
                </c:pt>
                <c:pt idx="3">
                  <c:v>130</c:v>
                </c:pt>
                <c:pt idx="4">
                  <c:v>225</c:v>
                </c:pt>
                <c:pt idx="5">
                  <c:v>285</c:v>
                </c:pt>
                <c:pt idx="6">
                  <c:v>131</c:v>
                </c:pt>
                <c:pt idx="7">
                  <c:v>136</c:v>
                </c:pt>
                <c:pt idx="8">
                  <c:v>105</c:v>
                </c:pt>
                <c:pt idx="9">
                  <c:v>145</c:v>
                </c:pt>
                <c:pt idx="10">
                  <c:v>160</c:v>
                </c:pt>
                <c:pt idx="11">
                  <c:v>20</c:v>
                </c:pt>
                <c:pt idx="12">
                  <c:v>40</c:v>
                </c:pt>
                <c:pt idx="13">
                  <c:v>109</c:v>
                </c:pt>
                <c:pt idx="14">
                  <c:v>70</c:v>
                </c:pt>
                <c:pt idx="15">
                  <c:v>140</c:v>
                </c:pt>
                <c:pt idx="16">
                  <c:v>82</c:v>
                </c:pt>
                <c:pt idx="17">
                  <c:v>10</c:v>
                </c:pt>
                <c:pt idx="18">
                  <c:v>21</c:v>
                </c:pt>
                <c:pt idx="19">
                  <c:v>23</c:v>
                </c:pt>
                <c:pt idx="20">
                  <c:v>80</c:v>
                </c:pt>
                <c:pt idx="21">
                  <c:v>12</c:v>
                </c:pt>
                <c:pt idx="22">
                  <c:v>15</c:v>
                </c:pt>
                <c:pt idx="23">
                  <c:v>49</c:v>
                </c:pt>
                <c:pt idx="24">
                  <c:v>220</c:v>
                </c:pt>
                <c:pt idx="25">
                  <c:v>12</c:v>
                </c:pt>
                <c:pt idx="26">
                  <c:v>15</c:v>
                </c:pt>
                <c:pt idx="27">
                  <c:v>203</c:v>
                </c:pt>
                <c:pt idx="28">
                  <c:v>11</c:v>
                </c:pt>
                <c:pt idx="29">
                  <c:v>126</c:v>
                </c:pt>
                <c:pt idx="30">
                  <c:v>15</c:v>
                </c:pt>
                <c:pt idx="31">
                  <c:v>18</c:v>
                </c:pt>
                <c:pt idx="32">
                  <c:v>86</c:v>
                </c:pt>
                <c:pt idx="33">
                  <c:v>25</c:v>
                </c:pt>
                <c:pt idx="34">
                  <c:v>150</c:v>
                </c:pt>
                <c:pt idx="35">
                  <c:v>73</c:v>
                </c:pt>
                <c:pt idx="36">
                  <c:v>22</c:v>
                </c:pt>
                <c:pt idx="37">
                  <c:v>63</c:v>
                </c:pt>
                <c:pt idx="38">
                  <c:v>79</c:v>
                </c:pt>
                <c:pt idx="39">
                  <c:v>70</c:v>
                </c:pt>
                <c:pt idx="40">
                  <c:v>11</c:v>
                </c:pt>
                <c:pt idx="41">
                  <c:v>8</c:v>
                </c:pt>
                <c:pt idx="42">
                  <c:v>20</c:v>
                </c:pt>
                <c:pt idx="43">
                  <c:v>120</c:v>
                </c:pt>
                <c:pt idx="44">
                  <c:v>40</c:v>
                </c:pt>
                <c:pt idx="45">
                  <c:v>43</c:v>
                </c:pt>
                <c:pt idx="46">
                  <c:v>60</c:v>
                </c:pt>
                <c:pt idx="47">
                  <c:v>30</c:v>
                </c:pt>
                <c:pt idx="48">
                  <c:v>14</c:v>
                </c:pt>
                <c:pt idx="49">
                  <c:v>9</c:v>
                </c:pt>
                <c:pt idx="50">
                  <c:v>65</c:v>
                </c:pt>
                <c:pt idx="51">
                  <c:v>60</c:v>
                </c:pt>
                <c:pt idx="52">
                  <c:v>60</c:v>
                </c:pt>
                <c:pt idx="53">
                  <c:v>60</c:v>
                </c:pt>
                <c:pt idx="54">
                  <c:v>60</c:v>
                </c:pt>
              </c:numCache>
            </c:numRef>
          </c:val>
          <c:smooth val="0"/>
          <c:extLst>
            <c:ext xmlns:c16="http://schemas.microsoft.com/office/drawing/2014/chart" uri="{C3380CC4-5D6E-409C-BE32-E72D297353CC}">
              <c16:uniqueId val="{00000000-A4C8-423E-9441-2D784094E1B1}"/>
            </c:ext>
          </c:extLst>
        </c:ser>
        <c:dLbls>
          <c:showLegendKey val="0"/>
          <c:showVal val="0"/>
          <c:showCatName val="0"/>
          <c:showSerName val="0"/>
          <c:showPercent val="0"/>
          <c:showBubbleSize val="0"/>
        </c:dLbls>
        <c:marker val="1"/>
        <c:smooth val="0"/>
        <c:axId val="408747840"/>
        <c:axId val="1"/>
      </c:lineChart>
      <c:lineChart>
        <c:grouping val="standard"/>
        <c:varyColors val="0"/>
        <c:ser>
          <c:idx val="1"/>
          <c:order val="1"/>
          <c:tx>
            <c:strRef>
              <c:f>'2019'!$O$1</c:f>
              <c:strCache>
                <c:ptCount val="1"/>
                <c:pt idx="0">
                  <c:v>Durée cumulée</c:v>
                </c:pt>
              </c:strCache>
            </c:strRef>
          </c:tx>
          <c:cat>
            <c:numRef>
              <c:f>'2018'!$C$2:$C$93</c:f>
              <c:numCache>
                <c:formatCode>m/d/yyyy</c:formatCode>
                <c:ptCount val="78"/>
                <c:pt idx="0">
                  <c:v>43118</c:v>
                </c:pt>
                <c:pt idx="1">
                  <c:v>43118</c:v>
                </c:pt>
                <c:pt idx="2">
                  <c:v>43124</c:v>
                </c:pt>
                <c:pt idx="3">
                  <c:v>43130</c:v>
                </c:pt>
                <c:pt idx="4">
                  <c:v>43130</c:v>
                </c:pt>
                <c:pt idx="5">
                  <c:v>43132</c:v>
                </c:pt>
                <c:pt idx="6">
                  <c:v>43132</c:v>
                </c:pt>
                <c:pt idx="7">
                  <c:v>43134</c:v>
                </c:pt>
                <c:pt idx="8">
                  <c:v>43137</c:v>
                </c:pt>
                <c:pt idx="9">
                  <c:v>43140</c:v>
                </c:pt>
                <c:pt idx="10">
                  <c:v>43141</c:v>
                </c:pt>
                <c:pt idx="11">
                  <c:v>43142</c:v>
                </c:pt>
                <c:pt idx="12">
                  <c:v>43143</c:v>
                </c:pt>
                <c:pt idx="13">
                  <c:v>43144</c:v>
                </c:pt>
                <c:pt idx="14">
                  <c:v>43144</c:v>
                </c:pt>
                <c:pt idx="15">
                  <c:v>43145</c:v>
                </c:pt>
                <c:pt idx="16">
                  <c:v>43145</c:v>
                </c:pt>
                <c:pt idx="17">
                  <c:v>43156</c:v>
                </c:pt>
                <c:pt idx="18">
                  <c:v>43158</c:v>
                </c:pt>
                <c:pt idx="19">
                  <c:v>43168</c:v>
                </c:pt>
                <c:pt idx="20">
                  <c:v>43174</c:v>
                </c:pt>
                <c:pt idx="21">
                  <c:v>43174</c:v>
                </c:pt>
                <c:pt idx="22">
                  <c:v>43189</c:v>
                </c:pt>
                <c:pt idx="23">
                  <c:v>43189</c:v>
                </c:pt>
                <c:pt idx="24">
                  <c:v>43189</c:v>
                </c:pt>
                <c:pt idx="25">
                  <c:v>43191</c:v>
                </c:pt>
                <c:pt idx="26">
                  <c:v>43192</c:v>
                </c:pt>
                <c:pt idx="27">
                  <c:v>43195</c:v>
                </c:pt>
                <c:pt idx="28">
                  <c:v>43196</c:v>
                </c:pt>
                <c:pt idx="29">
                  <c:v>43204</c:v>
                </c:pt>
                <c:pt idx="30">
                  <c:v>43204</c:v>
                </c:pt>
                <c:pt idx="31">
                  <c:v>43205</c:v>
                </c:pt>
                <c:pt idx="32">
                  <c:v>43208</c:v>
                </c:pt>
                <c:pt idx="33">
                  <c:v>43209</c:v>
                </c:pt>
                <c:pt idx="34">
                  <c:v>43210</c:v>
                </c:pt>
                <c:pt idx="35">
                  <c:v>43243</c:v>
                </c:pt>
                <c:pt idx="36">
                  <c:v>43259</c:v>
                </c:pt>
                <c:pt idx="37">
                  <c:v>43267</c:v>
                </c:pt>
                <c:pt idx="38">
                  <c:v>43269</c:v>
                </c:pt>
                <c:pt idx="39">
                  <c:v>43270</c:v>
                </c:pt>
                <c:pt idx="40">
                  <c:v>43271</c:v>
                </c:pt>
                <c:pt idx="41">
                  <c:v>43272</c:v>
                </c:pt>
                <c:pt idx="42">
                  <c:v>43276</c:v>
                </c:pt>
                <c:pt idx="43">
                  <c:v>43277</c:v>
                </c:pt>
                <c:pt idx="44">
                  <c:v>43312</c:v>
                </c:pt>
                <c:pt idx="45">
                  <c:v>43314</c:v>
                </c:pt>
                <c:pt idx="46">
                  <c:v>43315</c:v>
                </c:pt>
                <c:pt idx="47">
                  <c:v>43315</c:v>
                </c:pt>
                <c:pt idx="48">
                  <c:v>43353</c:v>
                </c:pt>
                <c:pt idx="49">
                  <c:v>43353</c:v>
                </c:pt>
                <c:pt idx="50">
                  <c:v>43354</c:v>
                </c:pt>
                <c:pt idx="51">
                  <c:v>43357</c:v>
                </c:pt>
                <c:pt idx="52">
                  <c:v>43357</c:v>
                </c:pt>
                <c:pt idx="53">
                  <c:v>43358</c:v>
                </c:pt>
                <c:pt idx="54">
                  <c:v>43358</c:v>
                </c:pt>
                <c:pt idx="55">
                  <c:v>43359</c:v>
                </c:pt>
                <c:pt idx="56">
                  <c:v>43359</c:v>
                </c:pt>
                <c:pt idx="57">
                  <c:v>43359</c:v>
                </c:pt>
                <c:pt idx="58">
                  <c:v>43360</c:v>
                </c:pt>
                <c:pt idx="59">
                  <c:v>43360</c:v>
                </c:pt>
                <c:pt idx="60">
                  <c:v>43361</c:v>
                </c:pt>
                <c:pt idx="61">
                  <c:v>43362</c:v>
                </c:pt>
                <c:pt idx="62">
                  <c:v>43363</c:v>
                </c:pt>
                <c:pt idx="63">
                  <c:v>43371</c:v>
                </c:pt>
                <c:pt idx="64">
                  <c:v>43371</c:v>
                </c:pt>
                <c:pt idx="65">
                  <c:v>43375</c:v>
                </c:pt>
                <c:pt idx="66">
                  <c:v>43375</c:v>
                </c:pt>
                <c:pt idx="67">
                  <c:v>43376</c:v>
                </c:pt>
                <c:pt idx="68">
                  <c:v>43377</c:v>
                </c:pt>
                <c:pt idx="69">
                  <c:v>43378</c:v>
                </c:pt>
                <c:pt idx="70">
                  <c:v>43385</c:v>
                </c:pt>
                <c:pt idx="71">
                  <c:v>43386</c:v>
                </c:pt>
                <c:pt idx="72">
                  <c:v>43386</c:v>
                </c:pt>
                <c:pt idx="73">
                  <c:v>43389</c:v>
                </c:pt>
                <c:pt idx="74">
                  <c:v>43393</c:v>
                </c:pt>
                <c:pt idx="75">
                  <c:v>43394</c:v>
                </c:pt>
                <c:pt idx="76">
                  <c:v>43395</c:v>
                </c:pt>
                <c:pt idx="77">
                  <c:v>43396</c:v>
                </c:pt>
              </c:numCache>
            </c:numRef>
          </c:cat>
          <c:val>
            <c:numRef>
              <c:f>'2019'!$O$2:$O$121</c:f>
              <c:numCache>
                <c:formatCode>0.00</c:formatCode>
                <c:ptCount val="62"/>
                <c:pt idx="1">
                  <c:v>3.7833333333333332</c:v>
                </c:pt>
                <c:pt idx="2">
                  <c:v>7.6999999999999993</c:v>
                </c:pt>
                <c:pt idx="3">
                  <c:v>9.8666666666666654</c:v>
                </c:pt>
                <c:pt idx="4">
                  <c:v>13.616666666666665</c:v>
                </c:pt>
                <c:pt idx="5">
                  <c:v>18.366666666666667</c:v>
                </c:pt>
                <c:pt idx="6">
                  <c:v>20.55</c:v>
                </c:pt>
                <c:pt idx="7">
                  <c:v>22.816666666666666</c:v>
                </c:pt>
                <c:pt idx="8">
                  <c:v>24.566666666666666</c:v>
                </c:pt>
                <c:pt idx="9">
                  <c:v>31.033333333333335</c:v>
                </c:pt>
                <c:pt idx="10">
                  <c:v>35.116666666666667</c:v>
                </c:pt>
                <c:pt idx="11">
                  <c:v>36.450000000000003</c:v>
                </c:pt>
                <c:pt idx="12">
                  <c:v>37.116666666666667</c:v>
                </c:pt>
                <c:pt idx="13">
                  <c:v>38.933333333333337</c:v>
                </c:pt>
                <c:pt idx="14">
                  <c:v>40.1</c:v>
                </c:pt>
                <c:pt idx="15">
                  <c:v>42.433333333333337</c:v>
                </c:pt>
                <c:pt idx="16">
                  <c:v>44.8</c:v>
                </c:pt>
                <c:pt idx="17">
                  <c:v>45.333333333333329</c:v>
                </c:pt>
                <c:pt idx="18">
                  <c:v>46.583333333333329</c:v>
                </c:pt>
                <c:pt idx="19">
                  <c:v>46.966666666666661</c:v>
                </c:pt>
                <c:pt idx="20">
                  <c:v>48.3</c:v>
                </c:pt>
                <c:pt idx="21">
                  <c:v>48.5</c:v>
                </c:pt>
                <c:pt idx="22">
                  <c:v>48.75</c:v>
                </c:pt>
                <c:pt idx="23">
                  <c:v>51.733333333333334</c:v>
                </c:pt>
                <c:pt idx="24">
                  <c:v>55.4</c:v>
                </c:pt>
                <c:pt idx="25">
                  <c:v>55.6</c:v>
                </c:pt>
                <c:pt idx="26">
                  <c:v>55.85</c:v>
                </c:pt>
                <c:pt idx="27">
                  <c:v>59.233333333333334</c:v>
                </c:pt>
                <c:pt idx="28">
                  <c:v>59.416666666666664</c:v>
                </c:pt>
                <c:pt idx="29">
                  <c:v>61.516666666666666</c:v>
                </c:pt>
                <c:pt idx="30">
                  <c:v>61.766666666666666</c:v>
                </c:pt>
                <c:pt idx="31">
                  <c:v>62.066666666666663</c:v>
                </c:pt>
                <c:pt idx="32">
                  <c:v>63.499999999999993</c:v>
                </c:pt>
                <c:pt idx="33">
                  <c:v>63.916666666666657</c:v>
                </c:pt>
                <c:pt idx="34">
                  <c:v>68.699999999999974</c:v>
                </c:pt>
                <c:pt idx="35">
                  <c:v>69.916666666666643</c:v>
                </c:pt>
                <c:pt idx="36">
                  <c:v>70.283333333333303</c:v>
                </c:pt>
                <c:pt idx="37">
                  <c:v>71.3333333333333</c:v>
                </c:pt>
                <c:pt idx="38">
                  <c:v>72.649999999999963</c:v>
                </c:pt>
                <c:pt idx="39">
                  <c:v>73.816666666666634</c:v>
                </c:pt>
                <c:pt idx="40">
                  <c:v>73.999999999999972</c:v>
                </c:pt>
                <c:pt idx="41">
                  <c:v>74.133333333333312</c:v>
                </c:pt>
                <c:pt idx="42">
                  <c:v>74.46666666666664</c:v>
                </c:pt>
                <c:pt idx="43">
                  <c:v>76.46666666666664</c:v>
                </c:pt>
                <c:pt idx="44">
                  <c:v>77.133333333333312</c:v>
                </c:pt>
                <c:pt idx="45">
                  <c:v>77.84999999999998</c:v>
                </c:pt>
                <c:pt idx="46">
                  <c:v>78.84999999999998</c:v>
                </c:pt>
                <c:pt idx="47">
                  <c:v>79.34999999999998</c:v>
                </c:pt>
                <c:pt idx="48">
                  <c:v>79.583333333333314</c:v>
                </c:pt>
                <c:pt idx="49">
                  <c:v>79.73333333333332</c:v>
                </c:pt>
                <c:pt idx="50">
                  <c:v>80.816666666666649</c:v>
                </c:pt>
                <c:pt idx="51">
                  <c:v>81.816666666666649</c:v>
                </c:pt>
                <c:pt idx="52">
                  <c:v>82.816666666666649</c:v>
                </c:pt>
                <c:pt idx="53">
                  <c:v>83.816666666666649</c:v>
                </c:pt>
                <c:pt idx="54">
                  <c:v>84.816666666666649</c:v>
                </c:pt>
              </c:numCache>
            </c:numRef>
          </c:val>
          <c:smooth val="0"/>
          <c:extLst>
            <c:ext xmlns:c16="http://schemas.microsoft.com/office/drawing/2014/chart" uri="{C3380CC4-5D6E-409C-BE32-E72D297353CC}">
              <c16:uniqueId val="{00000001-A4C8-423E-9441-2D784094E1B1}"/>
            </c:ext>
          </c:extLst>
        </c:ser>
        <c:dLbls>
          <c:showLegendKey val="0"/>
          <c:showVal val="0"/>
          <c:showCatName val="0"/>
          <c:showSerName val="0"/>
          <c:showPercent val="0"/>
          <c:showBubbleSize val="0"/>
        </c:dLbls>
        <c:marker val="1"/>
        <c:smooth val="0"/>
        <c:axId val="3"/>
        <c:axId val="4"/>
      </c:lineChart>
      <c:catAx>
        <c:axId val="408747840"/>
        <c:scaling>
          <c:orientation val="minMax"/>
        </c:scaling>
        <c:delete val="0"/>
        <c:axPos val="b"/>
        <c:numFmt formatCode="d/m;@" sourceLinked="0"/>
        <c:majorTickMark val="out"/>
        <c:minorTickMark val="none"/>
        <c:tickLblPos val="nextTo"/>
        <c:txPr>
          <a:bodyPr rot="-3600000"/>
          <a:lstStyle/>
          <a:p>
            <a:pPr>
              <a:defRPr/>
            </a:pPr>
            <a:endParaRPr lang="fr-FR"/>
          </a:p>
        </c:txPr>
        <c:crossAx val="1"/>
        <c:crosses val="autoZero"/>
        <c:auto val="0"/>
        <c:lblAlgn val="ctr"/>
        <c:lblOffset val="100"/>
        <c:tickLblSkip val="1"/>
        <c:tickMarkSkip val="1"/>
        <c:noMultiLvlLbl val="0"/>
      </c:catAx>
      <c:valAx>
        <c:axId val="1"/>
        <c:scaling>
          <c:orientation val="minMax"/>
        </c:scaling>
        <c:delete val="0"/>
        <c:axPos val="l"/>
        <c:majorGridlines/>
        <c:numFmt formatCode="General" sourceLinked="1"/>
        <c:majorTickMark val="out"/>
        <c:minorTickMark val="none"/>
        <c:tickLblPos val="nextTo"/>
        <c:crossAx val="408747840"/>
        <c:crosses val="autoZero"/>
        <c:crossBetween val="between"/>
      </c:valAx>
      <c:dateAx>
        <c:axId val="3"/>
        <c:scaling>
          <c:orientation val="minMax"/>
        </c:scaling>
        <c:delete val="1"/>
        <c:axPos val="b"/>
        <c:numFmt formatCode="m/d/yyyy" sourceLinked="1"/>
        <c:majorTickMark val="out"/>
        <c:minorTickMark val="none"/>
        <c:tickLblPos val="nextTo"/>
        <c:crossAx val="4"/>
        <c:crosses val="autoZero"/>
        <c:auto val="1"/>
        <c:lblOffset val="100"/>
        <c:baseTimeUnit val="days"/>
      </c:dateAx>
      <c:valAx>
        <c:axId val="4"/>
        <c:scaling>
          <c:orientation val="minMax"/>
        </c:scaling>
        <c:delete val="0"/>
        <c:axPos val="r"/>
        <c:numFmt formatCode="0.00" sourceLinked="1"/>
        <c:majorTickMark val="out"/>
        <c:minorTickMark val="none"/>
        <c:tickLblPos val="nextTo"/>
        <c:crossAx val="3"/>
        <c:crosses val="max"/>
        <c:crossBetween val="between"/>
      </c:valAx>
    </c:plotArea>
    <c:legend>
      <c:legendPos val="r"/>
      <c:layout>
        <c:manualLayout>
          <c:xMode val="edge"/>
          <c:yMode val="edge"/>
          <c:x val="0.90035858541974056"/>
          <c:y val="0.42494382066818664"/>
          <c:w val="9.1288842656872288E-2"/>
          <c:h val="0.13625915988816853"/>
        </c:manualLayout>
      </c:layout>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1622932423622428E-2"/>
          <c:y val="4.6189545724802897E-2"/>
          <c:w val="0.82577619762817811"/>
          <c:h val="0.80138861832533015"/>
        </c:manualLayout>
      </c:layout>
      <c:lineChart>
        <c:grouping val="standard"/>
        <c:varyColors val="0"/>
        <c:ser>
          <c:idx val="0"/>
          <c:order val="0"/>
          <c:tx>
            <c:strRef>
              <c:f>'2017'!$L$1</c:f>
              <c:strCache>
                <c:ptCount val="1"/>
                <c:pt idx="0">
                  <c:v>Durée</c:v>
                </c:pt>
              </c:strCache>
            </c:strRef>
          </c:tx>
          <c:cat>
            <c:numRef>
              <c:f>'2017'!$C$2:$C$93</c:f>
              <c:numCache>
                <c:formatCode>d\-mmm</c:formatCode>
                <c:ptCount val="6"/>
                <c:pt idx="0">
                  <c:v>42921</c:v>
                </c:pt>
                <c:pt idx="1">
                  <c:v>42921</c:v>
                </c:pt>
                <c:pt idx="2">
                  <c:v>42930</c:v>
                </c:pt>
                <c:pt idx="3">
                  <c:v>42931</c:v>
                </c:pt>
                <c:pt idx="4">
                  <c:v>42931</c:v>
                </c:pt>
                <c:pt idx="5">
                  <c:v>42932</c:v>
                </c:pt>
              </c:numCache>
            </c:numRef>
          </c:cat>
          <c:val>
            <c:numRef>
              <c:f>'2017'!$L$2:$L$93</c:f>
              <c:numCache>
                <c:formatCode>General</c:formatCode>
                <c:ptCount val="6"/>
                <c:pt idx="0">
                  <c:v>10</c:v>
                </c:pt>
                <c:pt idx="1">
                  <c:v>30</c:v>
                </c:pt>
                <c:pt idx="2">
                  <c:v>10</c:v>
                </c:pt>
                <c:pt idx="3">
                  <c:v>60</c:v>
                </c:pt>
                <c:pt idx="4">
                  <c:v>110</c:v>
                </c:pt>
                <c:pt idx="5">
                  <c:v>210</c:v>
                </c:pt>
              </c:numCache>
            </c:numRef>
          </c:val>
          <c:smooth val="0"/>
          <c:extLst>
            <c:ext xmlns:c16="http://schemas.microsoft.com/office/drawing/2014/chart" uri="{C3380CC4-5D6E-409C-BE32-E72D297353CC}">
              <c16:uniqueId val="{00000000-61A9-476E-9243-ECEA50FCC06F}"/>
            </c:ext>
          </c:extLst>
        </c:ser>
        <c:dLbls>
          <c:showLegendKey val="0"/>
          <c:showVal val="0"/>
          <c:showCatName val="0"/>
          <c:showSerName val="0"/>
          <c:showPercent val="0"/>
          <c:showBubbleSize val="0"/>
        </c:dLbls>
        <c:marker val="1"/>
        <c:smooth val="0"/>
        <c:axId val="408747840"/>
        <c:axId val="1"/>
      </c:lineChart>
      <c:lineChart>
        <c:grouping val="standard"/>
        <c:varyColors val="0"/>
        <c:ser>
          <c:idx val="1"/>
          <c:order val="1"/>
          <c:tx>
            <c:strRef>
              <c:f>'2017'!$M$1</c:f>
              <c:strCache>
                <c:ptCount val="1"/>
                <c:pt idx="0">
                  <c:v>Durée cumulée</c:v>
                </c:pt>
              </c:strCache>
            </c:strRef>
          </c:tx>
          <c:cat>
            <c:numRef>
              <c:f>'2017'!$C$2:$C$93</c:f>
              <c:numCache>
                <c:formatCode>d\-mmm</c:formatCode>
                <c:ptCount val="6"/>
                <c:pt idx="0">
                  <c:v>42921</c:v>
                </c:pt>
                <c:pt idx="1">
                  <c:v>42921</c:v>
                </c:pt>
                <c:pt idx="2">
                  <c:v>42930</c:v>
                </c:pt>
                <c:pt idx="3">
                  <c:v>42931</c:v>
                </c:pt>
                <c:pt idx="4">
                  <c:v>42931</c:v>
                </c:pt>
                <c:pt idx="5">
                  <c:v>42932</c:v>
                </c:pt>
              </c:numCache>
            </c:numRef>
          </c:cat>
          <c:val>
            <c:numRef>
              <c:f>'2017'!$M$2:$M$93</c:f>
              <c:numCache>
                <c:formatCode>0.00</c:formatCode>
                <c:ptCount val="6"/>
                <c:pt idx="0">
                  <c:v>59.649999999999977</c:v>
                </c:pt>
                <c:pt idx="1">
                  <c:v>60.149999999999977</c:v>
                </c:pt>
                <c:pt idx="2">
                  <c:v>60.316666666666642</c:v>
                </c:pt>
                <c:pt idx="3">
                  <c:v>61.316666666666642</c:v>
                </c:pt>
                <c:pt idx="4">
                  <c:v>63.149999999999977</c:v>
                </c:pt>
                <c:pt idx="5">
                  <c:v>66.98333333333332</c:v>
                </c:pt>
              </c:numCache>
            </c:numRef>
          </c:val>
          <c:smooth val="0"/>
          <c:extLst>
            <c:ext xmlns:c16="http://schemas.microsoft.com/office/drawing/2014/chart" uri="{C3380CC4-5D6E-409C-BE32-E72D297353CC}">
              <c16:uniqueId val="{00000001-61A9-476E-9243-ECEA50FCC06F}"/>
            </c:ext>
          </c:extLst>
        </c:ser>
        <c:dLbls>
          <c:showLegendKey val="0"/>
          <c:showVal val="0"/>
          <c:showCatName val="0"/>
          <c:showSerName val="0"/>
          <c:showPercent val="0"/>
          <c:showBubbleSize val="0"/>
        </c:dLbls>
        <c:marker val="1"/>
        <c:smooth val="0"/>
        <c:axId val="3"/>
        <c:axId val="4"/>
      </c:lineChart>
      <c:catAx>
        <c:axId val="408747840"/>
        <c:scaling>
          <c:orientation val="minMax"/>
        </c:scaling>
        <c:delete val="0"/>
        <c:axPos val="b"/>
        <c:numFmt formatCode="d/m;@" sourceLinked="0"/>
        <c:majorTickMark val="out"/>
        <c:minorTickMark val="none"/>
        <c:tickLblPos val="nextTo"/>
        <c:crossAx val="1"/>
        <c:crosses val="autoZero"/>
        <c:auto val="0"/>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408747840"/>
        <c:crosses val="autoZero"/>
        <c:crossBetween val="between"/>
      </c:valAx>
      <c:dateAx>
        <c:axId val="3"/>
        <c:scaling>
          <c:orientation val="minMax"/>
        </c:scaling>
        <c:delete val="1"/>
        <c:axPos val="b"/>
        <c:numFmt formatCode="d\-mmm" sourceLinked="1"/>
        <c:majorTickMark val="out"/>
        <c:minorTickMark val="none"/>
        <c:tickLblPos val="nextTo"/>
        <c:crossAx val="4"/>
        <c:crosses val="autoZero"/>
        <c:auto val="1"/>
        <c:lblOffset val="100"/>
        <c:baseTimeUnit val="days"/>
      </c:dateAx>
      <c:valAx>
        <c:axId val="4"/>
        <c:scaling>
          <c:orientation val="minMax"/>
        </c:scaling>
        <c:delete val="0"/>
        <c:axPos val="r"/>
        <c:numFmt formatCode="0.00" sourceLinked="1"/>
        <c:majorTickMark val="out"/>
        <c:minorTickMark val="none"/>
        <c:tickLblPos val="nextTo"/>
        <c:crossAx val="3"/>
        <c:crosses val="max"/>
        <c:crossBetween val="between"/>
      </c:valAx>
    </c:plotArea>
    <c:legend>
      <c:legendPos val="r"/>
      <c:layout>
        <c:manualLayout>
          <c:xMode val="edge"/>
          <c:yMode val="edge"/>
          <c:x val="0.90035858541974056"/>
          <c:y val="0.42494382066818664"/>
          <c:w val="9.1288842656872288E-2"/>
          <c:h val="0.13625915988816853"/>
        </c:manualLayout>
      </c:layout>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9469778772395"/>
          <c:y val="9.2024850004661901E-2"/>
          <c:w val="0.81706009939764201"/>
          <c:h val="0.68711888003480892"/>
        </c:manualLayout>
      </c:layout>
      <c:lineChart>
        <c:grouping val="standard"/>
        <c:varyColors val="0"/>
        <c:ser>
          <c:idx val="0"/>
          <c:order val="0"/>
          <c:tx>
            <c:strRef>
              <c:f>'2016'!$N$1</c:f>
              <c:strCache>
                <c:ptCount val="1"/>
              </c:strCache>
            </c:strRef>
          </c:tx>
          <c:cat>
            <c:strRef>
              <c:f>'2016'!$C$2:$C$68</c:f>
              <c:strCache>
                <c:ptCount val="63"/>
                <c:pt idx="0">
                  <c:v>Date</c:v>
                </c:pt>
                <c:pt idx="1">
                  <c:v>2-janv.</c:v>
                </c:pt>
                <c:pt idx="2">
                  <c:v>9-janv.</c:v>
                </c:pt>
                <c:pt idx="3">
                  <c:v>24-janv.</c:v>
                </c:pt>
                <c:pt idx="4">
                  <c:v>20-févr.</c:v>
                </c:pt>
                <c:pt idx="5">
                  <c:v>21-févr.</c:v>
                </c:pt>
                <c:pt idx="6">
                  <c:v>26-mars</c:v>
                </c:pt>
                <c:pt idx="7">
                  <c:v>26-mars</c:v>
                </c:pt>
                <c:pt idx="8">
                  <c:v>2-avr.</c:v>
                </c:pt>
                <c:pt idx="9">
                  <c:v>2-avr.</c:v>
                </c:pt>
                <c:pt idx="10">
                  <c:v>15-avr.</c:v>
                </c:pt>
                <c:pt idx="11">
                  <c:v>15-avr.</c:v>
                </c:pt>
                <c:pt idx="12">
                  <c:v>16-avr.</c:v>
                </c:pt>
                <c:pt idx="13">
                  <c:v>17-avr.</c:v>
                </c:pt>
                <c:pt idx="14">
                  <c:v>17-avr.</c:v>
                </c:pt>
                <c:pt idx="15">
                  <c:v>6-mai</c:v>
                </c:pt>
                <c:pt idx="16">
                  <c:v>7-mai</c:v>
                </c:pt>
                <c:pt idx="17">
                  <c:v>7-mai</c:v>
                </c:pt>
                <c:pt idx="18">
                  <c:v>7-mai</c:v>
                </c:pt>
                <c:pt idx="19">
                  <c:v>15-mai</c:v>
                </c:pt>
                <c:pt idx="20">
                  <c:v>16-mai</c:v>
                </c:pt>
                <c:pt idx="21">
                  <c:v>28-mai</c:v>
                </c:pt>
                <c:pt idx="22">
                  <c:v>2-juin</c:v>
                </c:pt>
                <c:pt idx="23">
                  <c:v>3-juin</c:v>
                </c:pt>
                <c:pt idx="24">
                  <c:v>4-juin</c:v>
                </c:pt>
                <c:pt idx="25">
                  <c:v>12-juin</c:v>
                </c:pt>
                <c:pt idx="26">
                  <c:v>19-juin</c:v>
                </c:pt>
                <c:pt idx="27">
                  <c:v>21-juin</c:v>
                </c:pt>
                <c:pt idx="28">
                  <c:v>28-juin</c:v>
                </c:pt>
                <c:pt idx="29">
                  <c:v>28-juin</c:v>
                </c:pt>
                <c:pt idx="30">
                  <c:v>3-juil.</c:v>
                </c:pt>
                <c:pt idx="31">
                  <c:v>6-août</c:v>
                </c:pt>
                <c:pt idx="32">
                  <c:v>7-août</c:v>
                </c:pt>
                <c:pt idx="33">
                  <c:v>8-août</c:v>
                </c:pt>
                <c:pt idx="34">
                  <c:v>8-août</c:v>
                </c:pt>
                <c:pt idx="35">
                  <c:v>11-août</c:v>
                </c:pt>
                <c:pt idx="36">
                  <c:v>11-août</c:v>
                </c:pt>
                <c:pt idx="37">
                  <c:v>13-août</c:v>
                </c:pt>
                <c:pt idx="38">
                  <c:v>13-août</c:v>
                </c:pt>
                <c:pt idx="39">
                  <c:v>14-août</c:v>
                </c:pt>
                <c:pt idx="40">
                  <c:v>14-août</c:v>
                </c:pt>
                <c:pt idx="41">
                  <c:v>14-août</c:v>
                </c:pt>
                <c:pt idx="42">
                  <c:v>15-août</c:v>
                </c:pt>
                <c:pt idx="43">
                  <c:v>21-août</c:v>
                </c:pt>
                <c:pt idx="44">
                  <c:v>21-août</c:v>
                </c:pt>
                <c:pt idx="45">
                  <c:v>21-août</c:v>
                </c:pt>
                <c:pt idx="46">
                  <c:v>27-août</c:v>
                </c:pt>
                <c:pt idx="47">
                  <c:v>31-août</c:v>
                </c:pt>
                <c:pt idx="48">
                  <c:v>31-août</c:v>
                </c:pt>
                <c:pt idx="49">
                  <c:v>10-sept.</c:v>
                </c:pt>
                <c:pt idx="50">
                  <c:v>11-sept.</c:v>
                </c:pt>
                <c:pt idx="51">
                  <c:v>24-sept.</c:v>
                </c:pt>
                <c:pt idx="52">
                  <c:v>24-sept.</c:v>
                </c:pt>
                <c:pt idx="53">
                  <c:v>9-oct.</c:v>
                </c:pt>
                <c:pt idx="54">
                  <c:v>22-oct.</c:v>
                </c:pt>
                <c:pt idx="55">
                  <c:v>22-oct.</c:v>
                </c:pt>
                <c:pt idx="56">
                  <c:v>9-déc.</c:v>
                </c:pt>
                <c:pt idx="57">
                  <c:v>9-déc.</c:v>
                </c:pt>
                <c:pt idx="58">
                  <c:v>9-déc.</c:v>
                </c:pt>
                <c:pt idx="59">
                  <c:v>10-déc.</c:v>
                </c:pt>
                <c:pt idx="60">
                  <c:v>10-déc.</c:v>
                </c:pt>
                <c:pt idx="61">
                  <c:v>11-déc.</c:v>
                </c:pt>
                <c:pt idx="62">
                  <c:v>25-déc.</c:v>
                </c:pt>
              </c:strCache>
            </c:strRef>
          </c:cat>
          <c:val>
            <c:numRef>
              <c:f>'2016'!$N$2:$N$68</c:f>
              <c:numCache>
                <c:formatCode>General</c:formatCode>
                <c:ptCount val="67"/>
                <c:pt idx="0">
                  <c:v>0</c:v>
                </c:pt>
                <c:pt idx="2">
                  <c:v>0</c:v>
                </c:pt>
                <c:pt idx="3">
                  <c:v>0</c:v>
                </c:pt>
                <c:pt idx="4">
                  <c:v>75</c:v>
                </c:pt>
                <c:pt idx="5">
                  <c:v>45</c:v>
                </c:pt>
                <c:pt idx="6">
                  <c:v>100</c:v>
                </c:pt>
                <c:pt idx="7">
                  <c:v>25</c:v>
                </c:pt>
                <c:pt idx="8">
                  <c:v>40</c:v>
                </c:pt>
                <c:pt idx="9">
                  <c:v>100</c:v>
                </c:pt>
                <c:pt idx="10">
                  <c:v>140</c:v>
                </c:pt>
                <c:pt idx="11">
                  <c:v>100</c:v>
                </c:pt>
                <c:pt idx="12">
                  <c:v>15</c:v>
                </c:pt>
                <c:pt idx="13">
                  <c:v>196</c:v>
                </c:pt>
                <c:pt idx="14">
                  <c:v>12</c:v>
                </c:pt>
                <c:pt idx="15">
                  <c:v>230</c:v>
                </c:pt>
                <c:pt idx="16">
                  <c:v>30</c:v>
                </c:pt>
                <c:pt idx="17">
                  <c:v>9</c:v>
                </c:pt>
                <c:pt idx="18">
                  <c:v>60</c:v>
                </c:pt>
                <c:pt idx="19">
                  <c:v>67</c:v>
                </c:pt>
                <c:pt idx="20">
                  <c:v>8</c:v>
                </c:pt>
                <c:pt idx="21">
                  <c:v>30</c:v>
                </c:pt>
                <c:pt idx="22">
                  <c:v>36</c:v>
                </c:pt>
                <c:pt idx="23">
                  <c:v>39</c:v>
                </c:pt>
                <c:pt idx="24">
                  <c:v>39</c:v>
                </c:pt>
                <c:pt idx="25">
                  <c:v>0</c:v>
                </c:pt>
                <c:pt idx="26">
                  <c:v>15</c:v>
                </c:pt>
                <c:pt idx="27">
                  <c:v>115</c:v>
                </c:pt>
                <c:pt idx="28">
                  <c:v>148</c:v>
                </c:pt>
                <c:pt idx="29">
                  <c:v>78</c:v>
                </c:pt>
                <c:pt idx="30">
                  <c:v>90</c:v>
                </c:pt>
                <c:pt idx="31">
                  <c:v>90</c:v>
                </c:pt>
                <c:pt idx="32">
                  <c:v>230</c:v>
                </c:pt>
                <c:pt idx="33">
                  <c:v>10</c:v>
                </c:pt>
                <c:pt idx="34">
                  <c:v>70</c:v>
                </c:pt>
                <c:pt idx="35">
                  <c:v>45</c:v>
                </c:pt>
                <c:pt idx="36">
                  <c:v>75</c:v>
                </c:pt>
                <c:pt idx="37">
                  <c:v>35</c:v>
                </c:pt>
                <c:pt idx="38">
                  <c:v>55</c:v>
                </c:pt>
                <c:pt idx="39">
                  <c:v>38</c:v>
                </c:pt>
                <c:pt idx="40">
                  <c:v>20</c:v>
                </c:pt>
                <c:pt idx="41">
                  <c:v>12</c:v>
                </c:pt>
                <c:pt idx="42">
                  <c:v>85</c:v>
                </c:pt>
                <c:pt idx="43">
                  <c:v>2</c:v>
                </c:pt>
                <c:pt idx="44">
                  <c:v>5</c:v>
                </c:pt>
                <c:pt idx="45">
                  <c:v>5</c:v>
                </c:pt>
                <c:pt idx="46">
                  <c:v>60</c:v>
                </c:pt>
                <c:pt idx="47">
                  <c:v>35</c:v>
                </c:pt>
                <c:pt idx="48">
                  <c:v>55</c:v>
                </c:pt>
                <c:pt idx="49">
                  <c:v>155</c:v>
                </c:pt>
                <c:pt idx="50">
                  <c:v>180</c:v>
                </c:pt>
                <c:pt idx="51">
                  <c:v>120</c:v>
                </c:pt>
                <c:pt idx="52">
                  <c:v>110</c:v>
                </c:pt>
                <c:pt idx="53">
                  <c:v>15</c:v>
                </c:pt>
                <c:pt idx="54">
                  <c:v>18</c:v>
                </c:pt>
                <c:pt idx="55">
                  <c:v>12</c:v>
                </c:pt>
                <c:pt idx="56">
                  <c:v>10</c:v>
                </c:pt>
                <c:pt idx="57">
                  <c:v>10</c:v>
                </c:pt>
                <c:pt idx="58">
                  <c:v>5</c:v>
                </c:pt>
                <c:pt idx="59">
                  <c:v>10</c:v>
                </c:pt>
                <c:pt idx="60">
                  <c:v>10</c:v>
                </c:pt>
                <c:pt idx="61">
                  <c:v>50</c:v>
                </c:pt>
                <c:pt idx="62">
                  <c:v>82</c:v>
                </c:pt>
              </c:numCache>
            </c:numRef>
          </c:val>
          <c:smooth val="0"/>
          <c:extLst>
            <c:ext xmlns:c16="http://schemas.microsoft.com/office/drawing/2014/chart" uri="{C3380CC4-5D6E-409C-BE32-E72D297353CC}">
              <c16:uniqueId val="{00000000-98AE-4A19-87BD-04BB0ED7C5E7}"/>
            </c:ext>
          </c:extLst>
        </c:ser>
        <c:dLbls>
          <c:showLegendKey val="0"/>
          <c:showVal val="0"/>
          <c:showCatName val="0"/>
          <c:showSerName val="0"/>
          <c:showPercent val="0"/>
          <c:showBubbleSize val="0"/>
        </c:dLbls>
        <c:marker val="1"/>
        <c:smooth val="0"/>
        <c:axId val="408744560"/>
        <c:axId val="1"/>
      </c:lineChart>
      <c:lineChart>
        <c:grouping val="standard"/>
        <c:varyColors val="0"/>
        <c:ser>
          <c:idx val="1"/>
          <c:order val="1"/>
          <c:tx>
            <c:strRef>
              <c:f>'2016'!$O$1</c:f>
              <c:strCache>
                <c:ptCount val="1"/>
              </c:strCache>
            </c:strRef>
          </c:tx>
          <c:cat>
            <c:strRef>
              <c:f>'2016'!$C$2:$C$68</c:f>
              <c:strCache>
                <c:ptCount val="63"/>
                <c:pt idx="0">
                  <c:v>Date</c:v>
                </c:pt>
                <c:pt idx="1">
                  <c:v>2-janv.</c:v>
                </c:pt>
                <c:pt idx="2">
                  <c:v>9-janv.</c:v>
                </c:pt>
                <c:pt idx="3">
                  <c:v>24-janv.</c:v>
                </c:pt>
                <c:pt idx="4">
                  <c:v>20-févr.</c:v>
                </c:pt>
                <c:pt idx="5">
                  <c:v>21-févr.</c:v>
                </c:pt>
                <c:pt idx="6">
                  <c:v>26-mars</c:v>
                </c:pt>
                <c:pt idx="7">
                  <c:v>26-mars</c:v>
                </c:pt>
                <c:pt idx="8">
                  <c:v>2-avr.</c:v>
                </c:pt>
                <c:pt idx="9">
                  <c:v>2-avr.</c:v>
                </c:pt>
                <c:pt idx="10">
                  <c:v>15-avr.</c:v>
                </c:pt>
                <c:pt idx="11">
                  <c:v>15-avr.</c:v>
                </c:pt>
                <c:pt idx="12">
                  <c:v>16-avr.</c:v>
                </c:pt>
                <c:pt idx="13">
                  <c:v>17-avr.</c:v>
                </c:pt>
                <c:pt idx="14">
                  <c:v>17-avr.</c:v>
                </c:pt>
                <c:pt idx="15">
                  <c:v>6-mai</c:v>
                </c:pt>
                <c:pt idx="16">
                  <c:v>7-mai</c:v>
                </c:pt>
                <c:pt idx="17">
                  <c:v>7-mai</c:v>
                </c:pt>
                <c:pt idx="18">
                  <c:v>7-mai</c:v>
                </c:pt>
                <c:pt idx="19">
                  <c:v>15-mai</c:v>
                </c:pt>
                <c:pt idx="20">
                  <c:v>16-mai</c:v>
                </c:pt>
                <c:pt idx="21">
                  <c:v>28-mai</c:v>
                </c:pt>
                <c:pt idx="22">
                  <c:v>2-juin</c:v>
                </c:pt>
                <c:pt idx="23">
                  <c:v>3-juin</c:v>
                </c:pt>
                <c:pt idx="24">
                  <c:v>4-juin</c:v>
                </c:pt>
                <c:pt idx="25">
                  <c:v>12-juin</c:v>
                </c:pt>
                <c:pt idx="26">
                  <c:v>19-juin</c:v>
                </c:pt>
                <c:pt idx="27">
                  <c:v>21-juin</c:v>
                </c:pt>
                <c:pt idx="28">
                  <c:v>28-juin</c:v>
                </c:pt>
                <c:pt idx="29">
                  <c:v>28-juin</c:v>
                </c:pt>
                <c:pt idx="30">
                  <c:v>3-juil.</c:v>
                </c:pt>
                <c:pt idx="31">
                  <c:v>6-août</c:v>
                </c:pt>
                <c:pt idx="32">
                  <c:v>7-août</c:v>
                </c:pt>
                <c:pt idx="33">
                  <c:v>8-août</c:v>
                </c:pt>
                <c:pt idx="34">
                  <c:v>8-août</c:v>
                </c:pt>
                <c:pt idx="35">
                  <c:v>11-août</c:v>
                </c:pt>
                <c:pt idx="36">
                  <c:v>11-août</c:v>
                </c:pt>
                <c:pt idx="37">
                  <c:v>13-août</c:v>
                </c:pt>
                <c:pt idx="38">
                  <c:v>13-août</c:v>
                </c:pt>
                <c:pt idx="39">
                  <c:v>14-août</c:v>
                </c:pt>
                <c:pt idx="40">
                  <c:v>14-août</c:v>
                </c:pt>
                <c:pt idx="41">
                  <c:v>14-août</c:v>
                </c:pt>
                <c:pt idx="42">
                  <c:v>15-août</c:v>
                </c:pt>
                <c:pt idx="43">
                  <c:v>21-août</c:v>
                </c:pt>
                <c:pt idx="44">
                  <c:v>21-août</c:v>
                </c:pt>
                <c:pt idx="45">
                  <c:v>21-août</c:v>
                </c:pt>
                <c:pt idx="46">
                  <c:v>27-août</c:v>
                </c:pt>
                <c:pt idx="47">
                  <c:v>31-août</c:v>
                </c:pt>
                <c:pt idx="48">
                  <c:v>31-août</c:v>
                </c:pt>
                <c:pt idx="49">
                  <c:v>10-sept.</c:v>
                </c:pt>
                <c:pt idx="50">
                  <c:v>11-sept.</c:v>
                </c:pt>
                <c:pt idx="51">
                  <c:v>24-sept.</c:v>
                </c:pt>
                <c:pt idx="52">
                  <c:v>24-sept.</c:v>
                </c:pt>
                <c:pt idx="53">
                  <c:v>9-oct.</c:v>
                </c:pt>
                <c:pt idx="54">
                  <c:v>22-oct.</c:v>
                </c:pt>
                <c:pt idx="55">
                  <c:v>22-oct.</c:v>
                </c:pt>
                <c:pt idx="56">
                  <c:v>9-déc.</c:v>
                </c:pt>
                <c:pt idx="57">
                  <c:v>9-déc.</c:v>
                </c:pt>
                <c:pt idx="58">
                  <c:v>9-déc.</c:v>
                </c:pt>
                <c:pt idx="59">
                  <c:v>10-déc.</c:v>
                </c:pt>
                <c:pt idx="60">
                  <c:v>10-déc.</c:v>
                </c:pt>
                <c:pt idx="61">
                  <c:v>11-déc.</c:v>
                </c:pt>
                <c:pt idx="62">
                  <c:v>25-déc.</c:v>
                </c:pt>
              </c:strCache>
            </c:strRef>
          </c:cat>
          <c:val>
            <c:numRef>
              <c:f>'2016'!$O$2:$O$68</c:f>
              <c:numCache>
                <c:formatCode>0.00</c:formatCode>
                <c:ptCount val="67"/>
                <c:pt idx="0">
                  <c:v>0</c:v>
                </c:pt>
                <c:pt idx="2">
                  <c:v>0</c:v>
                </c:pt>
                <c:pt idx="3">
                  <c:v>0</c:v>
                </c:pt>
                <c:pt idx="4">
                  <c:v>1.25</c:v>
                </c:pt>
                <c:pt idx="5">
                  <c:v>2</c:v>
                </c:pt>
                <c:pt idx="6">
                  <c:v>3.666666666666667</c:v>
                </c:pt>
                <c:pt idx="7">
                  <c:v>4.0833333333333339</c:v>
                </c:pt>
                <c:pt idx="8">
                  <c:v>4.7500000000000009</c:v>
                </c:pt>
                <c:pt idx="9">
                  <c:v>6.4166666666666679</c:v>
                </c:pt>
                <c:pt idx="10">
                  <c:v>8.7500000000000018</c:v>
                </c:pt>
                <c:pt idx="11">
                  <c:v>10.416666666666668</c:v>
                </c:pt>
                <c:pt idx="12">
                  <c:v>10.666666666666668</c:v>
                </c:pt>
                <c:pt idx="13">
                  <c:v>13.933333333333334</c:v>
                </c:pt>
                <c:pt idx="14">
                  <c:v>14.133333333333333</c:v>
                </c:pt>
                <c:pt idx="15">
                  <c:v>17.966666666666665</c:v>
                </c:pt>
                <c:pt idx="16">
                  <c:v>18.466666666666665</c:v>
                </c:pt>
                <c:pt idx="17">
                  <c:v>18.616666666666664</c:v>
                </c:pt>
                <c:pt idx="18">
                  <c:v>19.616666666666664</c:v>
                </c:pt>
                <c:pt idx="19">
                  <c:v>20.733333333333331</c:v>
                </c:pt>
                <c:pt idx="20">
                  <c:v>20.866666666666664</c:v>
                </c:pt>
                <c:pt idx="21">
                  <c:v>21.366666666666664</c:v>
                </c:pt>
                <c:pt idx="22">
                  <c:v>21.966666666666665</c:v>
                </c:pt>
                <c:pt idx="23">
                  <c:v>22.616666666666664</c:v>
                </c:pt>
                <c:pt idx="24">
                  <c:v>23.266666666666662</c:v>
                </c:pt>
                <c:pt idx="25">
                  <c:v>23.266666666666662</c:v>
                </c:pt>
                <c:pt idx="26">
                  <c:v>23.516666666666662</c:v>
                </c:pt>
                <c:pt idx="27">
                  <c:v>25.43333333333333</c:v>
                </c:pt>
                <c:pt idx="28">
                  <c:v>27.9</c:v>
                </c:pt>
                <c:pt idx="29">
                  <c:v>29.2</c:v>
                </c:pt>
                <c:pt idx="30">
                  <c:v>30.7</c:v>
                </c:pt>
                <c:pt idx="31">
                  <c:v>32.200000000000003</c:v>
                </c:pt>
                <c:pt idx="32">
                  <c:v>36.033333333333339</c:v>
                </c:pt>
                <c:pt idx="33">
                  <c:v>36.200000000000003</c:v>
                </c:pt>
                <c:pt idx="34">
                  <c:v>37.366666666666667</c:v>
                </c:pt>
                <c:pt idx="35">
                  <c:v>38.116666666666667</c:v>
                </c:pt>
                <c:pt idx="36">
                  <c:v>39.366666666666667</c:v>
                </c:pt>
                <c:pt idx="37">
                  <c:v>39.950000000000003</c:v>
                </c:pt>
                <c:pt idx="38">
                  <c:v>40.866666666666667</c:v>
                </c:pt>
                <c:pt idx="39">
                  <c:v>41.5</c:v>
                </c:pt>
                <c:pt idx="40">
                  <c:v>41.833333333333336</c:v>
                </c:pt>
                <c:pt idx="41">
                  <c:v>42.033333333333339</c:v>
                </c:pt>
                <c:pt idx="42">
                  <c:v>43.45</c:v>
                </c:pt>
                <c:pt idx="43">
                  <c:v>43.483333333333334</c:v>
                </c:pt>
                <c:pt idx="44">
                  <c:v>43.56666666666667</c:v>
                </c:pt>
                <c:pt idx="45">
                  <c:v>43.650000000000006</c:v>
                </c:pt>
                <c:pt idx="46">
                  <c:v>44.650000000000006</c:v>
                </c:pt>
                <c:pt idx="47">
                  <c:v>45.233333333333341</c:v>
                </c:pt>
                <c:pt idx="48">
                  <c:v>46.150000000000006</c:v>
                </c:pt>
                <c:pt idx="49">
                  <c:v>48.733333333333341</c:v>
                </c:pt>
                <c:pt idx="50">
                  <c:v>51.733333333333341</c:v>
                </c:pt>
                <c:pt idx="51">
                  <c:v>53.733333333333341</c:v>
                </c:pt>
                <c:pt idx="52">
                  <c:v>55.566666666666677</c:v>
                </c:pt>
                <c:pt idx="53">
                  <c:v>55.816666666666677</c:v>
                </c:pt>
                <c:pt idx="54">
                  <c:v>56.116666666666674</c:v>
                </c:pt>
                <c:pt idx="55">
                  <c:v>56.316666666666677</c:v>
                </c:pt>
                <c:pt idx="56">
                  <c:v>56.483333333333341</c:v>
                </c:pt>
                <c:pt idx="57">
                  <c:v>56.650000000000006</c:v>
                </c:pt>
                <c:pt idx="58">
                  <c:v>56.733333333333341</c:v>
                </c:pt>
                <c:pt idx="59">
                  <c:v>56.900000000000006</c:v>
                </c:pt>
                <c:pt idx="60">
                  <c:v>57.06666666666667</c:v>
                </c:pt>
                <c:pt idx="61">
                  <c:v>57.900000000000006</c:v>
                </c:pt>
                <c:pt idx="62">
                  <c:v>59.266666666666673</c:v>
                </c:pt>
              </c:numCache>
            </c:numRef>
          </c:val>
          <c:smooth val="0"/>
          <c:extLst>
            <c:ext xmlns:c16="http://schemas.microsoft.com/office/drawing/2014/chart" uri="{C3380CC4-5D6E-409C-BE32-E72D297353CC}">
              <c16:uniqueId val="{00000001-98AE-4A19-87BD-04BB0ED7C5E7}"/>
            </c:ext>
          </c:extLst>
        </c:ser>
        <c:dLbls>
          <c:showLegendKey val="0"/>
          <c:showVal val="0"/>
          <c:showCatName val="0"/>
          <c:showSerName val="0"/>
          <c:showPercent val="0"/>
          <c:showBubbleSize val="0"/>
        </c:dLbls>
        <c:marker val="1"/>
        <c:smooth val="0"/>
        <c:axId val="3"/>
        <c:axId val="4"/>
      </c:lineChart>
      <c:dateAx>
        <c:axId val="408744560"/>
        <c:scaling>
          <c:orientation val="minMax"/>
        </c:scaling>
        <c:delete val="0"/>
        <c:axPos val="b"/>
        <c:numFmt formatCode="General" sourceLinked="0"/>
        <c:majorTickMark val="out"/>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fr-FR"/>
          </a:p>
        </c:txPr>
        <c:crossAx val="1"/>
        <c:crosses val="autoZero"/>
        <c:auto val="0"/>
        <c:lblOffset val="100"/>
        <c:baseTimeUnit val="days"/>
      </c:dateAx>
      <c:valAx>
        <c:axId val="1"/>
        <c:scaling>
          <c:orientation val="minMax"/>
        </c:scaling>
        <c:delete val="0"/>
        <c:axPos val="l"/>
        <c:majorGridlines/>
        <c:numFmt formatCode="General" sourceLinked="1"/>
        <c:majorTickMark val="out"/>
        <c:minorTickMark val="none"/>
        <c:tickLblPos val="nextTo"/>
        <c:crossAx val="40874456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crossAx val="3"/>
        <c:crosses val="max"/>
        <c:crossBetween val="between"/>
      </c:valAx>
    </c:plotArea>
    <c:legend>
      <c:legendPos val="r"/>
      <c:layout>
        <c:manualLayout>
          <c:xMode val="edge"/>
          <c:yMode val="edge"/>
          <c:x val="0.9652083591785332"/>
          <c:y val="0.39570685502004616"/>
          <c:w val="2.8058382534259688E-2"/>
          <c:h val="0.1809822050091684"/>
        </c:manualLayout>
      </c:layout>
      <c:overlay val="0"/>
    </c:legend>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4.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198120</xdr:colOff>
      <xdr:row>1</xdr:row>
      <xdr:rowOff>45720</xdr:rowOff>
    </xdr:from>
    <xdr:to>
      <xdr:col>16</xdr:col>
      <xdr:colOff>289560</xdr:colOff>
      <xdr:row>20</xdr:row>
      <xdr:rowOff>160020</xdr:rowOff>
    </xdr:to>
    <xdr:graphicFrame macro="">
      <xdr:nvGraphicFramePr>
        <xdr:cNvPr id="2" name="Graphique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0</xdr:colOff>
          <xdr:row>22</xdr:row>
          <xdr:rowOff>0</xdr:rowOff>
        </xdr:from>
        <xdr:to>
          <xdr:col>15</xdr:col>
          <xdr:colOff>937260</xdr:colOff>
          <xdr:row>51</xdr:row>
          <xdr:rowOff>106680</xdr:rowOff>
        </xdr:to>
        <xdr:sp macro="" textlink="">
          <xdr:nvSpPr>
            <xdr:cNvPr id="16386" name="Objet 2" hidden="1">
              <a:extLst>
                <a:ext uri="{63B3BB69-23CF-44E3-9099-C40C66FF867C}">
                  <a14:compatExt spid="_x0000_s16386"/>
                </a:ext>
                <a:ext uri="{FF2B5EF4-FFF2-40B4-BE49-F238E27FC236}">
                  <a16:creationId xmlns:a16="http://schemas.microsoft.com/office/drawing/2014/main" id="{00000000-0008-0000-0900-000002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2895600</xdr:colOff>
          <xdr:row>34</xdr:row>
          <xdr:rowOff>15240</xdr:rowOff>
        </xdr:from>
        <xdr:to>
          <xdr:col>14</xdr:col>
          <xdr:colOff>4069080</xdr:colOff>
          <xdr:row>51</xdr:row>
          <xdr:rowOff>106680</xdr:rowOff>
        </xdr:to>
        <xdr:sp macro="" textlink="">
          <xdr:nvSpPr>
            <xdr:cNvPr id="16387" name="Objet 3" hidden="1">
              <a:extLst>
                <a:ext uri="{63B3BB69-23CF-44E3-9099-C40C66FF867C}">
                  <a14:compatExt spid="_x0000_s16387"/>
                </a:ext>
                <a:ext uri="{FF2B5EF4-FFF2-40B4-BE49-F238E27FC236}">
                  <a16:creationId xmlns:a16="http://schemas.microsoft.com/office/drawing/2014/main" id="{00000000-0008-0000-0900-000003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144780</xdr:rowOff>
    </xdr:from>
    <xdr:to>
      <xdr:col>16</xdr:col>
      <xdr:colOff>91440</xdr:colOff>
      <xdr:row>20</xdr:row>
      <xdr:rowOff>91440</xdr:rowOff>
    </xdr:to>
    <xdr:graphicFrame macro="">
      <xdr:nvGraphicFramePr>
        <xdr:cNvPr id="17410" name="Graphique 1">
          <a:extLst>
            <a:ext uri="{FF2B5EF4-FFF2-40B4-BE49-F238E27FC236}">
              <a16:creationId xmlns:a16="http://schemas.microsoft.com/office/drawing/2014/main" id="{00000000-0008-0000-0A00-0000024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66</xdr:row>
      <xdr:rowOff>45720</xdr:rowOff>
    </xdr:from>
    <xdr:to>
      <xdr:col>16</xdr:col>
      <xdr:colOff>4175760</xdr:colOff>
      <xdr:row>85</xdr:row>
      <xdr:rowOff>68580</xdr:rowOff>
    </xdr:to>
    <xdr:graphicFrame macro="">
      <xdr:nvGraphicFramePr>
        <xdr:cNvPr id="18453" name="Graphique 10">
          <a:extLst>
            <a:ext uri="{FF2B5EF4-FFF2-40B4-BE49-F238E27FC236}">
              <a16:creationId xmlns:a16="http://schemas.microsoft.com/office/drawing/2014/main" id="{00000000-0008-0000-0B00-000015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2087880</xdr:colOff>
          <xdr:row>56</xdr:row>
          <xdr:rowOff>106680</xdr:rowOff>
        </xdr:from>
        <xdr:to>
          <xdr:col>14</xdr:col>
          <xdr:colOff>3025140</xdr:colOff>
          <xdr:row>60</xdr:row>
          <xdr:rowOff>76200</xdr:rowOff>
        </xdr:to>
        <xdr:sp macro="" textlink="">
          <xdr:nvSpPr>
            <xdr:cNvPr id="15361" name="Objet 1" hidden="1">
              <a:extLst>
                <a:ext uri="{63B3BB69-23CF-44E3-9099-C40C66FF867C}">
                  <a14:compatExt spid="_x0000_s15361"/>
                </a:ext>
                <a:ext uri="{FF2B5EF4-FFF2-40B4-BE49-F238E27FC236}">
                  <a16:creationId xmlns:a16="http://schemas.microsoft.com/office/drawing/2014/main" id="{00000000-0008-0000-1800-000001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hyperlink" Target="https://parapente.ffvl.fr/compet/3279" TargetMode="External"/><Relationship Id="rId3" Type="http://schemas.openxmlformats.org/officeDocument/2006/relationships/hyperlink" Target="https://parapente.ffvl.fr/compet/3288" TargetMode="External"/><Relationship Id="rId7" Type="http://schemas.openxmlformats.org/officeDocument/2006/relationships/hyperlink" Target="https://parapente.ffvl.fr/compet/3285" TargetMode="External"/><Relationship Id="rId2" Type="http://schemas.openxmlformats.org/officeDocument/2006/relationships/hyperlink" Target="https://parapente.ffvl.fr/compet/3288" TargetMode="External"/><Relationship Id="rId1" Type="http://schemas.openxmlformats.org/officeDocument/2006/relationships/hyperlink" Target="https://parapente.ffvl.fr/compet/3290" TargetMode="External"/><Relationship Id="rId6" Type="http://schemas.openxmlformats.org/officeDocument/2006/relationships/hyperlink" Target="https://parapente.ffvl.fr/compet/3194" TargetMode="External"/><Relationship Id="rId11" Type="http://schemas.openxmlformats.org/officeDocument/2006/relationships/comments" Target="../comments3.xml"/><Relationship Id="rId5" Type="http://schemas.openxmlformats.org/officeDocument/2006/relationships/hyperlink" Target="https://parapente.ffvl.fr/compet/3222" TargetMode="External"/><Relationship Id="rId10" Type="http://schemas.openxmlformats.org/officeDocument/2006/relationships/vmlDrawing" Target="../drawings/vmlDrawing3.vml"/><Relationship Id="rId4" Type="http://schemas.openxmlformats.org/officeDocument/2006/relationships/hyperlink" Target="https://parapente.ffvl.fr/compet/3246" TargetMode="External"/><Relationship Id="rId9"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4.bin"/><Relationship Id="rId6" Type="http://schemas.openxmlformats.org/officeDocument/2006/relationships/package" Target="../embeddings/Document_Microsoft_Word.docx"/><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8.bin"/><Relationship Id="rId5" Type="http://schemas.openxmlformats.org/officeDocument/2006/relationships/image" Target="../media/image3.emf"/><Relationship Id="rId4" Type="http://schemas.openxmlformats.org/officeDocument/2006/relationships/oleObject" Target="../embeddings/Document_Microsoft_Word_97_-_2003.doc"/></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activeCell="G21" sqref="G21"/>
    </sheetView>
  </sheetViews>
  <sheetFormatPr baseColWidth="10" defaultRowHeight="13.2" x14ac:dyDescent="0.25"/>
  <cols>
    <col min="3" max="3" width="17.88671875" customWidth="1"/>
    <col min="4" max="4" width="25.6640625" customWidth="1"/>
    <col min="5" max="5" width="17.88671875" customWidth="1"/>
    <col min="6" max="6" width="11.33203125" bestFit="1" customWidth="1"/>
    <col min="7" max="7" width="28.109375" bestFit="1" customWidth="1"/>
  </cols>
  <sheetData>
    <row r="1" spans="1:7" x14ac:dyDescent="0.25">
      <c r="A1" s="63"/>
      <c r="B1" s="64" t="s">
        <v>363</v>
      </c>
      <c r="C1" s="64" t="s">
        <v>374</v>
      </c>
      <c r="D1" s="64" t="s">
        <v>375</v>
      </c>
      <c r="E1" s="64" t="s">
        <v>376</v>
      </c>
      <c r="F1" s="64" t="s">
        <v>377</v>
      </c>
      <c r="G1" s="64" t="s">
        <v>379</v>
      </c>
    </row>
    <row r="2" spans="1:7" x14ac:dyDescent="0.25">
      <c r="A2" s="65"/>
      <c r="B2" s="23"/>
      <c r="C2" s="23"/>
      <c r="D2" s="23"/>
      <c r="E2" s="23"/>
      <c r="F2" s="23"/>
      <c r="G2" s="23"/>
    </row>
    <row r="3" spans="1:7" x14ac:dyDescent="0.25">
      <c r="A3" s="65">
        <v>1.1000000000000001</v>
      </c>
      <c r="B3" s="23" t="s">
        <v>347</v>
      </c>
      <c r="C3" s="23" t="s">
        <v>364</v>
      </c>
      <c r="D3" s="23" t="s">
        <v>1166</v>
      </c>
      <c r="E3" s="62" t="s">
        <v>378</v>
      </c>
      <c r="F3" s="62" t="s">
        <v>378</v>
      </c>
      <c r="G3" s="23"/>
    </row>
    <row r="4" spans="1:7" x14ac:dyDescent="0.25">
      <c r="A4" s="65">
        <v>1.2</v>
      </c>
      <c r="B4" s="23" t="s">
        <v>347</v>
      </c>
      <c r="C4" s="23" t="s">
        <v>364</v>
      </c>
      <c r="D4" s="23" t="s">
        <v>365</v>
      </c>
      <c r="E4" s="62" t="s">
        <v>378</v>
      </c>
      <c r="F4" s="62" t="s">
        <v>378</v>
      </c>
      <c r="G4" s="23"/>
    </row>
    <row r="5" spans="1:7" x14ac:dyDescent="0.25">
      <c r="A5" s="65">
        <v>1.3</v>
      </c>
      <c r="B5" s="23" t="s">
        <v>347</v>
      </c>
      <c r="C5" s="23" t="s">
        <v>364</v>
      </c>
      <c r="D5" s="23" t="s">
        <v>366</v>
      </c>
      <c r="E5" s="62" t="s">
        <v>378</v>
      </c>
      <c r="F5" s="62" t="s">
        <v>378</v>
      </c>
      <c r="G5" s="23"/>
    </row>
    <row r="6" spans="1:7" x14ac:dyDescent="0.25">
      <c r="A6" s="65">
        <v>1.4</v>
      </c>
      <c r="B6" s="23" t="s">
        <v>347</v>
      </c>
      <c r="C6" s="23" t="s">
        <v>343</v>
      </c>
      <c r="D6" s="23" t="s">
        <v>345</v>
      </c>
      <c r="E6" s="23" t="s">
        <v>346</v>
      </c>
      <c r="F6" s="23" t="s">
        <v>344</v>
      </c>
      <c r="G6" s="23"/>
    </row>
    <row r="7" spans="1:7" x14ac:dyDescent="0.25">
      <c r="A7" s="65">
        <v>1.5</v>
      </c>
      <c r="B7" s="23" t="s">
        <v>347</v>
      </c>
      <c r="C7" s="23" t="s">
        <v>343</v>
      </c>
      <c r="D7" s="23" t="s">
        <v>345</v>
      </c>
      <c r="E7" s="23" t="s">
        <v>346</v>
      </c>
      <c r="F7" s="23" t="s">
        <v>1126</v>
      </c>
      <c r="G7" s="23"/>
    </row>
    <row r="8" spans="1:7" x14ac:dyDescent="0.25">
      <c r="A8" s="65">
        <v>1.6</v>
      </c>
      <c r="B8" s="23" t="s">
        <v>347</v>
      </c>
      <c r="C8" s="23" t="s">
        <v>343</v>
      </c>
      <c r="D8" s="23" t="s">
        <v>351</v>
      </c>
      <c r="E8" s="23" t="s">
        <v>367</v>
      </c>
      <c r="F8" s="23" t="s">
        <v>1126</v>
      </c>
      <c r="G8" s="23"/>
    </row>
    <row r="9" spans="1:7" x14ac:dyDescent="0.25">
      <c r="A9" s="65"/>
      <c r="B9" s="23"/>
      <c r="C9" s="23"/>
      <c r="D9" s="23"/>
      <c r="E9" s="23"/>
      <c r="F9" s="23"/>
      <c r="G9" s="23"/>
    </row>
    <row r="10" spans="1:7" x14ac:dyDescent="0.25">
      <c r="A10" s="65"/>
      <c r="B10" s="23"/>
      <c r="C10" s="23"/>
      <c r="D10" s="23"/>
      <c r="E10" s="23"/>
      <c r="F10" s="23"/>
      <c r="G10" s="23"/>
    </row>
    <row r="11" spans="1:7" x14ac:dyDescent="0.25">
      <c r="A11" s="65">
        <v>2.1</v>
      </c>
      <c r="B11" s="23" t="s">
        <v>348</v>
      </c>
      <c r="C11" s="23" t="s">
        <v>349</v>
      </c>
      <c r="D11" s="23" t="s">
        <v>353</v>
      </c>
      <c r="E11" s="23" t="s">
        <v>368</v>
      </c>
      <c r="F11" s="23"/>
      <c r="G11" s="23" t="s">
        <v>380</v>
      </c>
    </row>
    <row r="12" spans="1:7" x14ac:dyDescent="0.25">
      <c r="A12" s="65">
        <v>2.2000000000000002</v>
      </c>
      <c r="B12" s="23" t="s">
        <v>348</v>
      </c>
      <c r="C12" s="23" t="s">
        <v>349</v>
      </c>
      <c r="D12" s="23" t="s">
        <v>354</v>
      </c>
      <c r="E12" s="23" t="s">
        <v>368</v>
      </c>
      <c r="F12" s="23"/>
      <c r="G12" s="23"/>
    </row>
    <row r="13" spans="1:7" x14ac:dyDescent="0.25">
      <c r="A13" s="65">
        <v>2.2999999999999998</v>
      </c>
      <c r="B13" s="23" t="s">
        <v>348</v>
      </c>
      <c r="C13" s="23" t="s">
        <v>349</v>
      </c>
      <c r="D13" s="23" t="s">
        <v>355</v>
      </c>
      <c r="E13" s="23" t="s">
        <v>368</v>
      </c>
      <c r="F13" s="23"/>
      <c r="G13" s="23" t="s">
        <v>388</v>
      </c>
    </row>
    <row r="14" spans="1:7" x14ac:dyDescent="0.25">
      <c r="A14" s="65">
        <v>2.4</v>
      </c>
      <c r="B14" s="23" t="s">
        <v>348</v>
      </c>
      <c r="C14" s="23" t="s">
        <v>349</v>
      </c>
      <c r="D14" s="23" t="s">
        <v>355</v>
      </c>
      <c r="E14" s="23" t="s">
        <v>381</v>
      </c>
      <c r="F14" s="23"/>
      <c r="G14" s="23" t="s">
        <v>388</v>
      </c>
    </row>
    <row r="15" spans="1:7" x14ac:dyDescent="0.25">
      <c r="A15" s="65">
        <v>2.5</v>
      </c>
      <c r="B15" s="23" t="s">
        <v>348</v>
      </c>
      <c r="C15" s="23" t="s">
        <v>349</v>
      </c>
      <c r="D15" s="23" t="s">
        <v>356</v>
      </c>
      <c r="E15" s="23" t="s">
        <v>368</v>
      </c>
      <c r="F15" s="23"/>
      <c r="G15" s="23" t="s">
        <v>388</v>
      </c>
    </row>
    <row r="16" spans="1:7" x14ac:dyDescent="0.25">
      <c r="A16" s="65">
        <v>2.6</v>
      </c>
      <c r="B16" s="23" t="s">
        <v>348</v>
      </c>
      <c r="C16" s="23" t="s">
        <v>349</v>
      </c>
      <c r="D16" s="23" t="s">
        <v>356</v>
      </c>
      <c r="E16" s="23" t="s">
        <v>381</v>
      </c>
      <c r="F16" s="23"/>
      <c r="G16" s="23" t="s">
        <v>388</v>
      </c>
    </row>
    <row r="17" spans="1:7" x14ac:dyDescent="0.25">
      <c r="A17" s="65">
        <v>2.7</v>
      </c>
      <c r="B17" s="23" t="s">
        <v>348</v>
      </c>
      <c r="C17" s="23" t="s">
        <v>349</v>
      </c>
      <c r="D17" s="23" t="s">
        <v>357</v>
      </c>
      <c r="E17" s="23" t="s">
        <v>368</v>
      </c>
      <c r="F17" s="23"/>
      <c r="G17" s="23" t="s">
        <v>388</v>
      </c>
    </row>
    <row r="18" spans="1:7" x14ac:dyDescent="0.25">
      <c r="A18" s="65">
        <v>3.1</v>
      </c>
      <c r="B18" s="23" t="s">
        <v>348</v>
      </c>
      <c r="C18" s="23" t="s">
        <v>350</v>
      </c>
      <c r="D18" s="23" t="s">
        <v>389</v>
      </c>
      <c r="E18" s="23" t="s">
        <v>368</v>
      </c>
      <c r="F18" s="23"/>
      <c r="G18" s="23"/>
    </row>
    <row r="19" spans="1:7" x14ac:dyDescent="0.25">
      <c r="A19" s="65">
        <v>3.11</v>
      </c>
      <c r="B19" s="23" t="s">
        <v>348</v>
      </c>
      <c r="C19" s="23" t="s">
        <v>350</v>
      </c>
      <c r="D19" s="23" t="s">
        <v>389</v>
      </c>
      <c r="E19" s="23" t="s">
        <v>358</v>
      </c>
      <c r="F19" s="23"/>
      <c r="G19" s="23"/>
    </row>
    <row r="20" spans="1:7" x14ac:dyDescent="0.25">
      <c r="A20" s="65">
        <v>3.12</v>
      </c>
      <c r="B20" s="23" t="s">
        <v>348</v>
      </c>
      <c r="C20" s="23" t="s">
        <v>350</v>
      </c>
      <c r="D20" s="23" t="s">
        <v>389</v>
      </c>
      <c r="E20" s="23" t="s">
        <v>359</v>
      </c>
      <c r="F20" s="23"/>
      <c r="G20" s="23"/>
    </row>
    <row r="21" spans="1:7" x14ac:dyDescent="0.25">
      <c r="A21" s="65">
        <v>3.13</v>
      </c>
      <c r="B21" s="23" t="s">
        <v>348</v>
      </c>
      <c r="C21" s="23" t="s">
        <v>350</v>
      </c>
      <c r="D21" s="23" t="s">
        <v>390</v>
      </c>
      <c r="E21" s="23" t="s">
        <v>368</v>
      </c>
      <c r="F21" s="23"/>
      <c r="G21" s="23"/>
    </row>
    <row r="22" spans="1:7" x14ac:dyDescent="0.25">
      <c r="A22" s="65">
        <v>3.14</v>
      </c>
      <c r="B22" s="23" t="s">
        <v>348</v>
      </c>
      <c r="C22" s="23" t="s">
        <v>350</v>
      </c>
      <c r="D22" s="23" t="s">
        <v>390</v>
      </c>
      <c r="E22" s="23" t="s">
        <v>358</v>
      </c>
      <c r="F22" s="23"/>
      <c r="G22" s="23"/>
    </row>
    <row r="23" spans="1:7" x14ac:dyDescent="0.25">
      <c r="A23" s="65">
        <v>3.15</v>
      </c>
      <c r="B23" s="23" t="s">
        <v>348</v>
      </c>
      <c r="C23" s="23" t="s">
        <v>350</v>
      </c>
      <c r="D23" s="23" t="s">
        <v>390</v>
      </c>
      <c r="E23" s="23" t="s">
        <v>359</v>
      </c>
      <c r="F23" s="23"/>
      <c r="G23" s="23"/>
    </row>
    <row r="24" spans="1:7" x14ac:dyDescent="0.25">
      <c r="A24" s="65">
        <v>3.16</v>
      </c>
      <c r="B24" s="23" t="s">
        <v>348</v>
      </c>
      <c r="C24" s="23" t="s">
        <v>350</v>
      </c>
      <c r="D24" s="23" t="s">
        <v>391</v>
      </c>
      <c r="E24" s="23" t="s">
        <v>368</v>
      </c>
      <c r="F24" s="23"/>
      <c r="G24" s="23"/>
    </row>
    <row r="25" spans="1:7" x14ac:dyDescent="0.25">
      <c r="A25" s="65">
        <v>3.17</v>
      </c>
      <c r="B25" s="23" t="s">
        <v>348</v>
      </c>
      <c r="C25" s="23" t="s">
        <v>350</v>
      </c>
      <c r="D25" s="23" t="s">
        <v>391</v>
      </c>
      <c r="E25" s="23" t="s">
        <v>358</v>
      </c>
      <c r="F25" s="23"/>
      <c r="G25" s="23"/>
    </row>
    <row r="26" spans="1:7" x14ac:dyDescent="0.25">
      <c r="A26" s="65">
        <v>3.18</v>
      </c>
      <c r="B26" s="23" t="s">
        <v>348</v>
      </c>
      <c r="C26" s="23" t="s">
        <v>350</v>
      </c>
      <c r="D26" s="23" t="s">
        <v>391</v>
      </c>
      <c r="E26" s="23" t="s">
        <v>359</v>
      </c>
      <c r="F26" s="23"/>
      <c r="G26" s="23"/>
    </row>
    <row r="27" spans="1:7" x14ac:dyDescent="0.25">
      <c r="A27" s="65">
        <v>3.19</v>
      </c>
      <c r="B27" s="23" t="s">
        <v>348</v>
      </c>
      <c r="C27" s="23" t="s">
        <v>350</v>
      </c>
      <c r="D27" s="23" t="s">
        <v>360</v>
      </c>
      <c r="E27" s="23" t="s">
        <v>368</v>
      </c>
      <c r="F27" s="23"/>
      <c r="G27" s="23"/>
    </row>
    <row r="28" spans="1:7" x14ac:dyDescent="0.25">
      <c r="A28" s="65">
        <v>3.2</v>
      </c>
      <c r="B28" s="23" t="s">
        <v>348</v>
      </c>
      <c r="C28" s="23" t="s">
        <v>350</v>
      </c>
      <c r="D28" s="23" t="s">
        <v>360</v>
      </c>
      <c r="E28" s="23" t="s">
        <v>358</v>
      </c>
      <c r="F28" s="23"/>
      <c r="G28" s="23"/>
    </row>
    <row r="29" spans="1:7" x14ac:dyDescent="0.25">
      <c r="A29" s="65">
        <v>3.21</v>
      </c>
      <c r="B29" s="23" t="s">
        <v>348</v>
      </c>
      <c r="C29" s="23" t="s">
        <v>350</v>
      </c>
      <c r="D29" s="23" t="s">
        <v>360</v>
      </c>
      <c r="E29" s="23" t="s">
        <v>359</v>
      </c>
      <c r="F29" s="23"/>
      <c r="G29" s="23"/>
    </row>
    <row r="30" spans="1:7" x14ac:dyDescent="0.25">
      <c r="A30" s="65">
        <v>3.22</v>
      </c>
      <c r="B30" s="23" t="s">
        <v>348</v>
      </c>
      <c r="C30" s="23" t="s">
        <v>350</v>
      </c>
      <c r="D30" s="23" t="s">
        <v>361</v>
      </c>
      <c r="E30" s="62" t="s">
        <v>378</v>
      </c>
      <c r="F30" s="23"/>
      <c r="G30" s="23"/>
    </row>
    <row r="31" spans="1:7" x14ac:dyDescent="0.25">
      <c r="A31" s="65"/>
      <c r="B31" s="23"/>
      <c r="C31" s="23"/>
      <c r="D31" s="23"/>
      <c r="E31" s="23"/>
      <c r="F31" s="23"/>
      <c r="G31" s="23"/>
    </row>
    <row r="32" spans="1:7" x14ac:dyDescent="0.25">
      <c r="A32" s="65"/>
      <c r="B32" s="23"/>
      <c r="C32" s="23"/>
      <c r="D32" s="23"/>
      <c r="E32" s="23"/>
      <c r="F32" s="23"/>
      <c r="G32" s="23"/>
    </row>
    <row r="33" spans="1:7" x14ac:dyDescent="0.25">
      <c r="A33" s="65">
        <v>4.0999999999999996</v>
      </c>
      <c r="B33" s="23" t="s">
        <v>348</v>
      </c>
      <c r="C33" s="23" t="s">
        <v>352</v>
      </c>
      <c r="D33" s="23" t="s">
        <v>597</v>
      </c>
      <c r="E33" s="23"/>
      <c r="F33" s="23"/>
      <c r="G33" s="23"/>
    </row>
    <row r="34" spans="1:7" ht="13.8" thickBot="1" x14ac:dyDescent="0.3">
      <c r="A34" s="66">
        <v>4.0999999999999996</v>
      </c>
      <c r="B34" s="67" t="s">
        <v>348</v>
      </c>
      <c r="C34" s="67" t="s">
        <v>352</v>
      </c>
      <c r="D34" s="67" t="s">
        <v>362</v>
      </c>
      <c r="E34" s="67"/>
      <c r="F34" s="67"/>
      <c r="G34" s="67"/>
    </row>
    <row r="39" spans="1:7" x14ac:dyDescent="0.25">
      <c r="B39" t="s">
        <v>369</v>
      </c>
    </row>
    <row r="40" spans="1:7" x14ac:dyDescent="0.25">
      <c r="B40" t="s">
        <v>370</v>
      </c>
    </row>
    <row r="41" spans="1:7" x14ac:dyDescent="0.25">
      <c r="B41" t="s">
        <v>371</v>
      </c>
    </row>
    <row r="42" spans="1:7" x14ac:dyDescent="0.25">
      <c r="B42" t="s">
        <v>372</v>
      </c>
    </row>
    <row r="43" spans="1:7" x14ac:dyDescent="0.25">
      <c r="B43" t="s">
        <v>373</v>
      </c>
    </row>
  </sheetData>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0"/>
  <sheetViews>
    <sheetView zoomScaleNormal="100" zoomScalePageLayoutView="70" workbookViewId="0">
      <pane xSplit="2" ySplit="2" topLeftCell="C27" activePane="bottomRight" state="frozenSplit"/>
      <selection pane="topRight" activeCell="J1" sqref="J1"/>
      <selection pane="bottomLeft" activeCell="A3" sqref="A3"/>
      <selection pane="bottomRight" activeCell="R1" sqref="R1"/>
    </sheetView>
  </sheetViews>
  <sheetFormatPr baseColWidth="10" defaultRowHeight="13.2" x14ac:dyDescent="0.25"/>
  <cols>
    <col min="1" max="1" width="11.33203125" customWidth="1"/>
    <col min="2" max="2" width="10.44140625" customWidth="1"/>
    <col min="3" max="3" width="10.88671875" style="72" customWidth="1"/>
    <col min="4" max="4" width="7.5546875" style="72" bestFit="1" customWidth="1"/>
    <col min="5" max="5" width="27.6640625" style="169" customWidth="1"/>
    <col min="6" max="6" width="7.6640625" style="72" bestFit="1" customWidth="1"/>
    <col min="7" max="7" width="8.5546875" style="72" bestFit="1" customWidth="1"/>
    <col min="8" max="8" width="10.44140625" style="74" customWidth="1"/>
    <col min="9" max="9" width="10.21875" style="160" customWidth="1"/>
    <col min="10" max="10" width="10.44140625" style="154" customWidth="1"/>
    <col min="11" max="12" width="8.5546875" style="160" customWidth="1"/>
    <col min="13" max="13" width="13.5546875" style="74" bestFit="1" customWidth="1"/>
    <col min="14" max="14" width="13.5546875" style="150" customWidth="1"/>
    <col min="15" max="15" width="8" style="74" bestFit="1" customWidth="1"/>
    <col min="16" max="16" width="13" style="73" bestFit="1" customWidth="1"/>
    <col min="17" max="17" width="12.88671875" style="73" bestFit="1" customWidth="1"/>
    <col min="18" max="18" width="7.88671875" style="74" customWidth="1"/>
    <col min="19" max="19" width="10.88671875" style="73" bestFit="1" customWidth="1"/>
    <col min="20" max="20" width="6.33203125" style="73" bestFit="1" customWidth="1"/>
    <col min="21" max="21" width="19.6640625" bestFit="1" customWidth="1"/>
    <col min="22" max="22" width="111.88671875" style="19" customWidth="1"/>
  </cols>
  <sheetData>
    <row r="1" spans="1:22" ht="26.4" x14ac:dyDescent="0.25">
      <c r="A1" s="20" t="s">
        <v>460</v>
      </c>
      <c r="B1" s="20" t="s">
        <v>461</v>
      </c>
      <c r="C1" s="21" t="s">
        <v>241</v>
      </c>
      <c r="D1" s="20" t="s">
        <v>246</v>
      </c>
      <c r="E1" s="164"/>
      <c r="F1" s="31" t="s">
        <v>285</v>
      </c>
      <c r="G1" s="20" t="s">
        <v>276</v>
      </c>
      <c r="H1" s="85" t="s">
        <v>85</v>
      </c>
      <c r="I1" s="159" t="s">
        <v>82</v>
      </c>
      <c r="J1" s="152" t="s">
        <v>86</v>
      </c>
      <c r="K1" s="159" t="s">
        <v>83</v>
      </c>
      <c r="L1" s="159" t="s">
        <v>84</v>
      </c>
      <c r="M1" s="86" t="s">
        <v>248</v>
      </c>
      <c r="N1" s="141" t="s">
        <v>154</v>
      </c>
      <c r="O1" s="85" t="s">
        <v>249</v>
      </c>
      <c r="P1" s="20" t="s">
        <v>280</v>
      </c>
      <c r="Q1" s="20" t="s">
        <v>281</v>
      </c>
      <c r="R1" s="85" t="s">
        <v>282</v>
      </c>
      <c r="S1" s="20" t="s">
        <v>283</v>
      </c>
      <c r="T1" s="20" t="s">
        <v>279</v>
      </c>
      <c r="U1" s="31" t="s">
        <v>292</v>
      </c>
      <c r="V1" s="27" t="s">
        <v>145</v>
      </c>
    </row>
    <row r="2" spans="1:22" s="19" customFormat="1" x14ac:dyDescent="0.25">
      <c r="A2" s="36" t="s">
        <v>56</v>
      </c>
      <c r="B2" s="36" t="s">
        <v>57</v>
      </c>
      <c r="C2" s="132">
        <v>2016</v>
      </c>
      <c r="D2" s="132" t="s">
        <v>487</v>
      </c>
      <c r="E2" s="122" t="str">
        <f t="shared" ref="E2:E30" si="0">CONCATENATE(A2, " - ",B2," - ",D2)</f>
        <v>Air Cross - U Cruise - M</v>
      </c>
      <c r="F2" s="137" t="s">
        <v>287</v>
      </c>
      <c r="G2" s="137" t="s">
        <v>362</v>
      </c>
      <c r="H2" s="90">
        <v>26.67</v>
      </c>
      <c r="I2" s="144" t="e">
        <f>Matériel!$G$14/H2</f>
        <v>#VALUE!</v>
      </c>
      <c r="J2" s="153">
        <v>22.86</v>
      </c>
      <c r="K2" s="144" t="e">
        <f>Matériel!$G$14/J2</f>
        <v>#VALUE!</v>
      </c>
      <c r="L2" s="144">
        <f>(H2-J2)/H2*100</f>
        <v>14.285714285714294</v>
      </c>
      <c r="M2" s="91">
        <v>5.6</v>
      </c>
      <c r="N2" s="144">
        <v>4.1900000000000004</v>
      </c>
      <c r="O2" s="91">
        <v>5.8</v>
      </c>
      <c r="P2" s="138">
        <v>65</v>
      </c>
      <c r="Q2" s="109" t="s">
        <v>313</v>
      </c>
      <c r="R2" s="105">
        <v>7.58</v>
      </c>
      <c r="S2" s="138"/>
      <c r="T2" s="138">
        <v>3900</v>
      </c>
      <c r="U2" s="36"/>
      <c r="V2" s="139"/>
    </row>
    <row r="3" spans="1:22" x14ac:dyDescent="0.25">
      <c r="A3" s="23" t="s">
        <v>258</v>
      </c>
      <c r="B3" s="23" t="s">
        <v>260</v>
      </c>
      <c r="C3" s="87">
        <v>2014</v>
      </c>
      <c r="D3" s="88">
        <v>26</v>
      </c>
      <c r="E3" s="126" t="str">
        <f t="shared" si="0"/>
        <v>Mac Para - Elan - 26</v>
      </c>
      <c r="F3" s="96" t="s">
        <v>295</v>
      </c>
      <c r="G3" s="89" t="s">
        <v>288</v>
      </c>
      <c r="H3" s="90">
        <v>26.1</v>
      </c>
      <c r="I3" s="144" t="e">
        <f>Matériel!$G$14/H3</f>
        <v>#VALUE!</v>
      </c>
      <c r="J3" s="171"/>
      <c r="K3" s="142"/>
      <c r="L3" s="142"/>
      <c r="M3" s="111">
        <v>6.2</v>
      </c>
      <c r="N3" s="148">
        <v>4.5199999999999996</v>
      </c>
      <c r="O3" s="105">
        <v>5.7</v>
      </c>
      <c r="P3" s="103">
        <v>63</v>
      </c>
      <c r="Q3" s="94" t="s">
        <v>284</v>
      </c>
      <c r="R3" s="91">
        <v>6.77</v>
      </c>
      <c r="S3" s="94">
        <v>252</v>
      </c>
      <c r="T3" s="92">
        <v>3500</v>
      </c>
      <c r="U3" s="99" t="s">
        <v>303</v>
      </c>
    </row>
    <row r="4" spans="1:22" x14ac:dyDescent="0.25">
      <c r="A4" s="36" t="s">
        <v>124</v>
      </c>
      <c r="B4" s="36" t="s">
        <v>125</v>
      </c>
      <c r="C4" s="95">
        <v>2015</v>
      </c>
      <c r="D4" s="88" t="s">
        <v>252</v>
      </c>
      <c r="E4" s="125" t="str">
        <f t="shared" si="0"/>
        <v>NOVA - Mentor 4 - S</v>
      </c>
      <c r="F4" s="96" t="s">
        <v>295</v>
      </c>
      <c r="G4" s="96" t="s">
        <v>362</v>
      </c>
      <c r="H4" s="90">
        <v>26</v>
      </c>
      <c r="I4" s="144" t="e">
        <f>Matériel!$G$14/H4</f>
        <v>#VALUE!</v>
      </c>
      <c r="J4" s="153"/>
      <c r="K4" s="142"/>
      <c r="L4" s="142"/>
      <c r="M4" s="91">
        <v>5.43</v>
      </c>
      <c r="N4" s="142"/>
      <c r="O4" s="91">
        <v>5.3</v>
      </c>
      <c r="P4" s="92">
        <v>55</v>
      </c>
      <c r="Q4" s="92" t="s">
        <v>284</v>
      </c>
      <c r="R4" s="91">
        <v>6.87</v>
      </c>
      <c r="S4" s="92">
        <v>237</v>
      </c>
      <c r="T4" s="92">
        <v>3800</v>
      </c>
      <c r="U4" s="36" t="s">
        <v>126</v>
      </c>
    </row>
    <row r="5" spans="1:22" ht="158.4" x14ac:dyDescent="0.25">
      <c r="A5" s="36" t="s">
        <v>264</v>
      </c>
      <c r="B5" s="36" t="s">
        <v>11</v>
      </c>
      <c r="C5" s="132">
        <v>2010</v>
      </c>
      <c r="D5" s="132" t="s">
        <v>487</v>
      </c>
      <c r="E5" s="156" t="str">
        <f t="shared" si="0"/>
        <v>Ozone - Delta - M</v>
      </c>
      <c r="F5" s="137" t="s">
        <v>104</v>
      </c>
      <c r="G5" s="137" t="s">
        <v>288</v>
      </c>
      <c r="H5" s="131">
        <v>26</v>
      </c>
      <c r="I5" s="144" t="e">
        <f>Matériel!$G$14/H5</f>
        <v>#VALUE!</v>
      </c>
      <c r="J5" s="131">
        <v>22.4</v>
      </c>
      <c r="K5" s="144" t="e">
        <f>Matériel!$G$14/J5</f>
        <v>#VALUE!</v>
      </c>
      <c r="L5" s="144">
        <f t="shared" ref="L5:L10" si="1">(H5-J5)/H5*100</f>
        <v>13.846153846153852</v>
      </c>
      <c r="M5" s="176">
        <v>5.85</v>
      </c>
      <c r="N5" s="148">
        <v>4.4000000000000004</v>
      </c>
      <c r="O5" s="131">
        <v>5.6</v>
      </c>
      <c r="P5" s="157">
        <v>58</v>
      </c>
      <c r="Q5" s="177" t="s">
        <v>12</v>
      </c>
      <c r="R5" s="158">
        <v>7.59</v>
      </c>
      <c r="S5" s="138">
        <v>308</v>
      </c>
      <c r="T5" s="138">
        <v>3650</v>
      </c>
      <c r="U5" s="37"/>
      <c r="V5" s="139" t="s">
        <v>13</v>
      </c>
    </row>
    <row r="6" spans="1:22" x14ac:dyDescent="0.25">
      <c r="A6" s="37" t="s">
        <v>258</v>
      </c>
      <c r="B6" s="37" t="s">
        <v>81</v>
      </c>
      <c r="C6" s="132">
        <v>2017</v>
      </c>
      <c r="D6" s="132">
        <v>26</v>
      </c>
      <c r="E6" s="165" t="str">
        <f t="shared" si="0"/>
        <v>Mac Para - Elan 2 - 26</v>
      </c>
      <c r="F6" s="96" t="s">
        <v>295</v>
      </c>
      <c r="G6" s="89" t="s">
        <v>288</v>
      </c>
      <c r="H6" s="90">
        <v>25.8</v>
      </c>
      <c r="I6" s="144" t="e">
        <f>Matériel!$G$14/H6</f>
        <v>#VALUE!</v>
      </c>
      <c r="J6" s="131">
        <v>21.9</v>
      </c>
      <c r="K6" s="144" t="e">
        <f>Matériel!$G$14/J6</f>
        <v>#VALUE!</v>
      </c>
      <c r="L6" s="144">
        <f t="shared" si="1"/>
        <v>15.116279069767449</v>
      </c>
      <c r="M6" s="111">
        <v>6.27</v>
      </c>
      <c r="N6" s="143">
        <v>4.72</v>
      </c>
      <c r="O6" s="91">
        <v>4.9000000000000004</v>
      </c>
      <c r="P6" s="157">
        <v>63</v>
      </c>
      <c r="Q6" s="94" t="s">
        <v>284</v>
      </c>
      <c r="R6" s="105">
        <v>7.39</v>
      </c>
      <c r="S6" s="158"/>
      <c r="T6" s="138"/>
      <c r="U6" s="37"/>
      <c r="V6" s="139"/>
    </row>
    <row r="7" spans="1:22" x14ac:dyDescent="0.25">
      <c r="A7" s="36" t="s">
        <v>258</v>
      </c>
      <c r="B7" s="36" t="s">
        <v>259</v>
      </c>
      <c r="C7" s="95">
        <v>2016</v>
      </c>
      <c r="D7" s="88">
        <v>26</v>
      </c>
      <c r="E7" s="129" t="str">
        <f t="shared" si="0"/>
        <v>Mac Para - Eden 6 - 26</v>
      </c>
      <c r="F7" s="96" t="s">
        <v>139</v>
      </c>
      <c r="G7" s="96" t="s">
        <v>362</v>
      </c>
      <c r="H7" s="90">
        <v>25.6</v>
      </c>
      <c r="I7" s="144" t="e">
        <f>Matériel!$G$14/H7</f>
        <v>#VALUE!</v>
      </c>
      <c r="J7" s="153">
        <v>21.95</v>
      </c>
      <c r="K7" s="144" t="e">
        <f>Matériel!$G$14/J7</f>
        <v>#VALUE!</v>
      </c>
      <c r="L7" s="144">
        <f t="shared" si="1"/>
        <v>14.257812500000009</v>
      </c>
      <c r="M7" s="107">
        <v>5.91</v>
      </c>
      <c r="N7" s="146">
        <v>4.41</v>
      </c>
      <c r="O7" s="90">
        <v>5.2</v>
      </c>
      <c r="P7" s="103">
        <v>56</v>
      </c>
      <c r="Q7" s="94" t="s">
        <v>284</v>
      </c>
      <c r="R7" s="94">
        <v>7.13</v>
      </c>
      <c r="S7" s="101">
        <v>238</v>
      </c>
      <c r="T7" s="92">
        <v>3400</v>
      </c>
      <c r="U7" s="99" t="s">
        <v>302</v>
      </c>
    </row>
    <row r="8" spans="1:22" x14ac:dyDescent="0.25">
      <c r="A8" s="36" t="s">
        <v>137</v>
      </c>
      <c r="B8" s="36" t="s">
        <v>294</v>
      </c>
      <c r="C8" s="121">
        <v>2013</v>
      </c>
      <c r="D8" s="88" t="s">
        <v>487</v>
      </c>
      <c r="E8" s="167" t="str">
        <f t="shared" si="0"/>
        <v>Triple seven - Queen - M</v>
      </c>
      <c r="F8" s="96" t="s">
        <v>295</v>
      </c>
      <c r="G8" s="89" t="s">
        <v>288</v>
      </c>
      <c r="H8" s="90">
        <v>25.5</v>
      </c>
      <c r="I8" s="144" t="e">
        <f>Matériel!$G$14/H8</f>
        <v>#VALUE!</v>
      </c>
      <c r="J8" s="153">
        <v>21.4</v>
      </c>
      <c r="K8" s="144" t="e">
        <f>Matériel!$G$14/J8</f>
        <v>#VALUE!</v>
      </c>
      <c r="L8" s="107">
        <f t="shared" si="1"/>
        <v>16.078431372549026</v>
      </c>
      <c r="M8" s="105">
        <v>6.2</v>
      </c>
      <c r="N8" s="143">
        <v>4.6399999999999997</v>
      </c>
      <c r="O8" s="90">
        <v>5</v>
      </c>
      <c r="P8" s="92">
        <v>62</v>
      </c>
      <c r="Q8" s="104" t="s">
        <v>296</v>
      </c>
      <c r="R8" s="106"/>
      <c r="S8" s="92"/>
      <c r="T8" s="92">
        <v>3700</v>
      </c>
      <c r="U8" s="23"/>
    </row>
    <row r="9" spans="1:22" x14ac:dyDescent="0.25">
      <c r="A9" s="36" t="s">
        <v>255</v>
      </c>
      <c r="B9" s="36" t="s">
        <v>256</v>
      </c>
      <c r="C9" s="87">
        <v>2014</v>
      </c>
      <c r="D9" s="88">
        <v>26</v>
      </c>
      <c r="E9" s="170" t="str">
        <f t="shared" si="0"/>
        <v>Gradient - Aspen 5 - 26</v>
      </c>
      <c r="F9" s="89" t="s">
        <v>138</v>
      </c>
      <c r="G9" s="89" t="s">
        <v>288</v>
      </c>
      <c r="H9" s="90">
        <v>25.5</v>
      </c>
      <c r="I9" s="144" t="e">
        <f>Matériel!$G$14/H9</f>
        <v>#VALUE!</v>
      </c>
      <c r="J9" s="153">
        <v>21.49</v>
      </c>
      <c r="K9" s="144" t="e">
        <f>Matériel!$G$14/J9</f>
        <v>#VALUE!</v>
      </c>
      <c r="L9" s="107">
        <f t="shared" si="1"/>
        <v>15.725490196078438</v>
      </c>
      <c r="M9" s="105">
        <v>6.25</v>
      </c>
      <c r="N9" s="143">
        <v>4.54</v>
      </c>
      <c r="O9" s="90">
        <v>5.0999999999999996</v>
      </c>
      <c r="P9" s="92">
        <v>64</v>
      </c>
      <c r="Q9" s="104" t="s">
        <v>290</v>
      </c>
      <c r="R9" s="94">
        <v>7.3</v>
      </c>
      <c r="S9" s="101">
        <v>233</v>
      </c>
      <c r="T9" s="92">
        <v>3750</v>
      </c>
      <c r="U9" s="23"/>
    </row>
    <row r="10" spans="1:22" x14ac:dyDescent="0.25">
      <c r="A10" s="36" t="s">
        <v>506</v>
      </c>
      <c r="B10" s="36" t="s">
        <v>247</v>
      </c>
      <c r="C10" s="87">
        <v>2014</v>
      </c>
      <c r="D10" s="88">
        <v>25</v>
      </c>
      <c r="E10" s="129" t="str">
        <f t="shared" si="0"/>
        <v>Advance - Sigma 9 - 25</v>
      </c>
      <c r="F10" s="96" t="s">
        <v>287</v>
      </c>
      <c r="G10" s="89" t="s">
        <v>288</v>
      </c>
      <c r="H10" s="91">
        <v>25.1</v>
      </c>
      <c r="I10" s="144" t="e">
        <f>Matériel!$G$14/H10</f>
        <v>#VALUE!</v>
      </c>
      <c r="J10" s="153">
        <v>20.9</v>
      </c>
      <c r="K10" s="145" t="e">
        <f>Matériel!$G$14/J10</f>
        <v>#VALUE!</v>
      </c>
      <c r="L10" s="107">
        <f t="shared" si="1"/>
        <v>16.733067729083675</v>
      </c>
      <c r="M10" s="90">
        <v>5.85</v>
      </c>
      <c r="N10" s="147">
        <v>4.0999999999999996</v>
      </c>
      <c r="O10" s="91">
        <v>4.9000000000000004</v>
      </c>
      <c r="P10" s="92">
        <v>59</v>
      </c>
      <c r="Q10" s="94" t="s">
        <v>289</v>
      </c>
      <c r="R10" s="105">
        <v>7.5</v>
      </c>
      <c r="S10" s="92"/>
      <c r="T10" s="92">
        <v>3800</v>
      </c>
      <c r="U10" s="23"/>
    </row>
    <row r="11" spans="1:22" ht="224.4" x14ac:dyDescent="0.25">
      <c r="A11" s="36" t="s">
        <v>257</v>
      </c>
      <c r="B11" s="36" t="s">
        <v>122</v>
      </c>
      <c r="C11" s="95">
        <v>2015</v>
      </c>
      <c r="D11" s="88" t="s">
        <v>487</v>
      </c>
      <c r="E11" s="166" t="str">
        <f t="shared" si="0"/>
        <v>ITV - Jedi 2 - M</v>
      </c>
      <c r="F11" s="96" t="s">
        <v>295</v>
      </c>
      <c r="G11" s="96" t="s">
        <v>362</v>
      </c>
      <c r="H11" s="91">
        <v>25</v>
      </c>
      <c r="I11" s="144" t="e">
        <f>Matériel!$G$14/H11</f>
        <v>#VALUE!</v>
      </c>
      <c r="J11" s="153" t="s">
        <v>67</v>
      </c>
      <c r="K11" s="142"/>
      <c r="L11" s="142"/>
      <c r="M11" s="91">
        <v>5.7</v>
      </c>
      <c r="N11" s="142" t="s">
        <v>67</v>
      </c>
      <c r="O11" s="91">
        <v>4.5</v>
      </c>
      <c r="P11" s="92">
        <v>55</v>
      </c>
      <c r="Q11" s="100" t="s">
        <v>290</v>
      </c>
      <c r="R11" s="91">
        <v>6.53</v>
      </c>
      <c r="S11" s="92"/>
      <c r="T11" s="92">
        <v>3350</v>
      </c>
      <c r="U11" s="23"/>
      <c r="V11" s="19" t="s">
        <v>54</v>
      </c>
    </row>
    <row r="12" spans="1:22" x14ac:dyDescent="0.25">
      <c r="A12" s="36" t="s">
        <v>514</v>
      </c>
      <c r="B12" s="36" t="s">
        <v>270</v>
      </c>
      <c r="C12" s="95">
        <v>2015</v>
      </c>
      <c r="D12" s="88" t="s">
        <v>487</v>
      </c>
      <c r="E12" s="166" t="str">
        <f t="shared" si="0"/>
        <v>Swing - Nyos - M</v>
      </c>
      <c r="F12" s="96" t="s">
        <v>295</v>
      </c>
      <c r="G12" s="95" t="s">
        <v>362</v>
      </c>
      <c r="H12" s="91">
        <v>25</v>
      </c>
      <c r="I12" s="144" t="e">
        <f>Matériel!$G$14/H12</f>
        <v>#VALUE!</v>
      </c>
      <c r="J12" s="153">
        <v>21.6</v>
      </c>
      <c r="K12" s="144" t="e">
        <f>Matériel!$G$14/J12</f>
        <v>#VALUE!</v>
      </c>
      <c r="L12" s="144">
        <f>(H12-J12)/H12*100</f>
        <v>13.599999999999996</v>
      </c>
      <c r="M12" s="91">
        <v>5.8</v>
      </c>
      <c r="N12" s="144">
        <v>4.4000000000000004</v>
      </c>
      <c r="O12" s="90">
        <v>5</v>
      </c>
      <c r="P12" s="92">
        <v>59</v>
      </c>
      <c r="Q12" s="108" t="s">
        <v>289</v>
      </c>
      <c r="R12" s="91">
        <v>6.74</v>
      </c>
      <c r="S12" s="92"/>
      <c r="T12" s="92">
        <v>3900</v>
      </c>
      <c r="U12" s="23"/>
    </row>
    <row r="13" spans="1:22" x14ac:dyDescent="0.25">
      <c r="A13" s="36" t="s">
        <v>272</v>
      </c>
      <c r="B13" s="36" t="s">
        <v>273</v>
      </c>
      <c r="C13" s="95">
        <v>2016</v>
      </c>
      <c r="D13" s="88" t="s">
        <v>254</v>
      </c>
      <c r="E13" s="125" t="str">
        <f t="shared" si="0"/>
        <v>UP - Kibo - SM</v>
      </c>
      <c r="F13" s="95" t="s">
        <v>291</v>
      </c>
      <c r="G13" s="95" t="s">
        <v>362</v>
      </c>
      <c r="H13" s="91">
        <v>24.9</v>
      </c>
      <c r="I13" s="144" t="e">
        <f>Matériel!$G$14/H13</f>
        <v>#VALUE!</v>
      </c>
      <c r="J13" s="153"/>
      <c r="K13" s="142"/>
      <c r="L13" s="142"/>
      <c r="M13" s="91">
        <v>5.7</v>
      </c>
      <c r="N13" s="142"/>
      <c r="O13" s="91">
        <v>4.7</v>
      </c>
      <c r="P13" s="92">
        <v>49</v>
      </c>
      <c r="Q13" s="94" t="s">
        <v>284</v>
      </c>
      <c r="R13" s="91">
        <v>6.75</v>
      </c>
      <c r="S13" s="98">
        <v>268</v>
      </c>
      <c r="T13" s="92">
        <v>3600</v>
      </c>
      <c r="U13" s="175"/>
    </row>
    <row r="14" spans="1:22" x14ac:dyDescent="0.25">
      <c r="A14" s="36" t="s">
        <v>274</v>
      </c>
      <c r="B14" s="36" t="s">
        <v>275</v>
      </c>
      <c r="C14" s="95">
        <v>2016</v>
      </c>
      <c r="D14" s="88" t="s">
        <v>252</v>
      </c>
      <c r="E14" s="166" t="str">
        <f t="shared" si="0"/>
        <v>U-Turn - Blacklight 2 - S</v>
      </c>
      <c r="F14" s="89" t="s">
        <v>315</v>
      </c>
      <c r="G14" s="95" t="s">
        <v>362</v>
      </c>
      <c r="H14" s="91">
        <v>24.8</v>
      </c>
      <c r="I14" s="144" t="e">
        <f>Matériel!$G$14/H14</f>
        <v>#VALUE!</v>
      </c>
      <c r="J14" s="153">
        <v>21.55</v>
      </c>
      <c r="K14" s="144" t="e">
        <f>Matériel!$G$14/J14</f>
        <v>#VALUE!</v>
      </c>
      <c r="L14" s="144">
        <f>(H14-J14)/H14*100</f>
        <v>13.104838709677418</v>
      </c>
      <c r="M14" s="91">
        <v>5.61</v>
      </c>
      <c r="N14" s="144">
        <v>4.24</v>
      </c>
      <c r="O14" s="91">
        <v>4.7</v>
      </c>
      <c r="P14" s="92">
        <v>59</v>
      </c>
      <c r="Q14" s="94" t="s">
        <v>284</v>
      </c>
      <c r="R14" s="90">
        <v>7.2</v>
      </c>
      <c r="S14" s="101">
        <v>239</v>
      </c>
      <c r="T14" s="92"/>
      <c r="U14" s="23"/>
    </row>
    <row r="15" spans="1:22" x14ac:dyDescent="0.25">
      <c r="A15" s="36" t="s">
        <v>267</v>
      </c>
      <c r="B15" s="36" t="s">
        <v>123</v>
      </c>
      <c r="C15" s="121">
        <v>2011</v>
      </c>
      <c r="D15" s="88" t="s">
        <v>487</v>
      </c>
      <c r="E15" s="122" t="str">
        <f t="shared" si="0"/>
        <v>Sky Paragliders - Antéa 2 - M</v>
      </c>
      <c r="F15" s="96" t="s">
        <v>291</v>
      </c>
      <c r="G15" s="89" t="s">
        <v>288</v>
      </c>
      <c r="H15" s="91">
        <v>24.6</v>
      </c>
      <c r="I15" s="144" t="e">
        <f>Matériel!$G$14/H15</f>
        <v>#VALUE!</v>
      </c>
      <c r="J15" s="153">
        <v>21.83</v>
      </c>
      <c r="K15" s="144" t="e">
        <f>Matériel!$G$14/J15</f>
        <v>#VALUE!</v>
      </c>
      <c r="L15" s="144">
        <f>(H15-J15)/H15*100</f>
        <v>11.260162601626028</v>
      </c>
      <c r="M15" s="91">
        <v>5.5</v>
      </c>
      <c r="N15" s="144">
        <v>4.24</v>
      </c>
      <c r="O15" s="91">
        <v>4.9000000000000004</v>
      </c>
      <c r="P15" s="92">
        <v>59</v>
      </c>
      <c r="Q15" s="92" t="s">
        <v>113</v>
      </c>
      <c r="R15" s="131"/>
      <c r="S15" s="92"/>
      <c r="T15" s="92">
        <v>3450</v>
      </c>
      <c r="U15" s="23"/>
    </row>
    <row r="16" spans="1:22" s="136" customFormat="1" x14ac:dyDescent="0.25">
      <c r="A16" s="36" t="s">
        <v>261</v>
      </c>
      <c r="B16" s="36" t="s">
        <v>262</v>
      </c>
      <c r="C16" s="95">
        <v>2015</v>
      </c>
      <c r="D16" s="88">
        <v>25</v>
      </c>
      <c r="E16" s="166" t="str">
        <f t="shared" si="0"/>
        <v>Niviuk - Ikuma - 25</v>
      </c>
      <c r="F16" s="96" t="s">
        <v>295</v>
      </c>
      <c r="G16" s="96" t="s">
        <v>362</v>
      </c>
      <c r="H16" s="91">
        <v>24.5</v>
      </c>
      <c r="I16" s="144" t="e">
        <f>Matériel!$G$14/H16</f>
        <v>#VALUE!</v>
      </c>
      <c r="J16" s="153">
        <v>20.75</v>
      </c>
      <c r="K16" s="145" t="e">
        <f>Matériel!$G$14/J16</f>
        <v>#VALUE!</v>
      </c>
      <c r="L16" s="107">
        <f>(H16-J16)/H16*100</f>
        <v>15.306122448979592</v>
      </c>
      <c r="M16" s="102">
        <v>5.7</v>
      </c>
      <c r="N16" s="146">
        <v>4.26</v>
      </c>
      <c r="O16" s="91">
        <v>4.9000000000000004</v>
      </c>
      <c r="P16" s="103">
        <v>57</v>
      </c>
      <c r="Q16" s="104" t="s">
        <v>304</v>
      </c>
      <c r="R16" s="94">
        <v>7.2</v>
      </c>
      <c r="S16" s="101">
        <v>238</v>
      </c>
      <c r="T16" s="92">
        <v>3800</v>
      </c>
      <c r="U16" s="23"/>
      <c r="V16" s="19"/>
    </row>
    <row r="17" spans="1:22" s="136" customFormat="1" ht="396" x14ac:dyDescent="0.25">
      <c r="A17" s="130" t="s">
        <v>267</v>
      </c>
      <c r="B17" s="130" t="s">
        <v>268</v>
      </c>
      <c r="C17" s="95">
        <v>2015</v>
      </c>
      <c r="D17" s="88" t="s">
        <v>487</v>
      </c>
      <c r="E17" s="166" t="str">
        <f t="shared" si="0"/>
        <v>Sky Paragliders - Apollo - M</v>
      </c>
      <c r="F17" s="96" t="s">
        <v>286</v>
      </c>
      <c r="G17" s="96" t="s">
        <v>362</v>
      </c>
      <c r="H17" s="91">
        <v>24.5</v>
      </c>
      <c r="I17" s="144" t="e">
        <f>Matériel!$G$14/H17</f>
        <v>#VALUE!</v>
      </c>
      <c r="J17" s="153">
        <v>21.56</v>
      </c>
      <c r="K17" s="144" t="e">
        <f>Matériel!$G$14/J17</f>
        <v>#VALUE!</v>
      </c>
      <c r="L17" s="144">
        <f>(H17-J17)/H17*100</f>
        <v>12.000000000000005</v>
      </c>
      <c r="M17" s="91">
        <v>5.45</v>
      </c>
      <c r="N17" s="144">
        <v>4.2</v>
      </c>
      <c r="O17" s="91">
        <v>4.5999999999999996</v>
      </c>
      <c r="P17" s="92">
        <v>55</v>
      </c>
      <c r="Q17" s="94" t="s">
        <v>284</v>
      </c>
      <c r="R17" s="91">
        <v>6.94</v>
      </c>
      <c r="S17" s="92"/>
      <c r="T17" s="92">
        <v>3750</v>
      </c>
      <c r="U17" s="23"/>
      <c r="V17" s="27" t="s">
        <v>94</v>
      </c>
    </row>
    <row r="18" spans="1:22" x14ac:dyDescent="0.25">
      <c r="A18" s="36" t="s">
        <v>506</v>
      </c>
      <c r="B18" s="36" t="s">
        <v>58</v>
      </c>
      <c r="C18" s="95">
        <v>2017</v>
      </c>
      <c r="D18" s="88">
        <v>25</v>
      </c>
      <c r="E18" s="129" t="str">
        <f t="shared" si="0"/>
        <v>Advance - Sigma 10 - 25</v>
      </c>
      <c r="F18" s="96" t="s">
        <v>295</v>
      </c>
      <c r="G18" s="89" t="s">
        <v>288</v>
      </c>
      <c r="H18" s="91">
        <v>24.5</v>
      </c>
      <c r="I18" s="144" t="e">
        <f>Matériel!$G$14/H18</f>
        <v>#VALUE!</v>
      </c>
      <c r="J18" s="153">
        <v>20.96</v>
      </c>
      <c r="K18" s="145" t="e">
        <f>Matériel!$G$14/J18</f>
        <v>#VALUE!</v>
      </c>
      <c r="L18" s="144">
        <f>(H18-J18)/H18*100</f>
        <v>14.44897959183673</v>
      </c>
      <c r="M18" s="105">
        <v>6.16</v>
      </c>
      <c r="N18" s="143">
        <v>4.5999999999999996</v>
      </c>
      <c r="O18" s="91">
        <v>4.9000000000000004</v>
      </c>
      <c r="P18" s="138">
        <v>66</v>
      </c>
      <c r="Q18" s="94" t="s">
        <v>284</v>
      </c>
      <c r="R18" s="105">
        <v>7.46</v>
      </c>
      <c r="S18" s="138"/>
      <c r="T18" s="92">
        <v>4250</v>
      </c>
      <c r="U18" s="23"/>
    </row>
    <row r="19" spans="1:22" s="136" customFormat="1" x14ac:dyDescent="0.25">
      <c r="A19" s="36" t="s">
        <v>261</v>
      </c>
      <c r="B19" s="36" t="s">
        <v>263</v>
      </c>
      <c r="C19" s="87">
        <v>2014</v>
      </c>
      <c r="D19" s="88">
        <v>25</v>
      </c>
      <c r="E19" s="127" t="str">
        <f t="shared" si="0"/>
        <v>Niviuk - Artik 4 - 25</v>
      </c>
      <c r="F19" s="96" t="s">
        <v>291</v>
      </c>
      <c r="G19" s="89" t="s">
        <v>288</v>
      </c>
      <c r="H19" s="91">
        <v>24.5</v>
      </c>
      <c r="I19" s="144" t="e">
        <f>Matériel!$G$14/H19</f>
        <v>#VALUE!</v>
      </c>
      <c r="J19" s="153"/>
      <c r="K19" s="142"/>
      <c r="L19" s="142"/>
      <c r="M19" s="107">
        <v>6.1</v>
      </c>
      <c r="N19" s="143">
        <v>4.5599999999999996</v>
      </c>
      <c r="O19" s="90">
        <v>5.2</v>
      </c>
      <c r="P19" s="103">
        <v>63</v>
      </c>
      <c r="Q19" s="104" t="s">
        <v>293</v>
      </c>
      <c r="R19" s="105">
        <v>7.5</v>
      </c>
      <c r="S19" s="110">
        <v>245</v>
      </c>
      <c r="T19" s="103">
        <v>3800</v>
      </c>
      <c r="U19" s="99" t="s">
        <v>301</v>
      </c>
      <c r="V19" s="19"/>
    </row>
    <row r="20" spans="1:22" x14ac:dyDescent="0.25">
      <c r="A20" s="130" t="s">
        <v>255</v>
      </c>
      <c r="B20" s="130" t="s">
        <v>316</v>
      </c>
      <c r="C20" s="114">
        <v>2013</v>
      </c>
      <c r="D20" s="115">
        <v>24</v>
      </c>
      <c r="E20" s="122" t="str">
        <f t="shared" si="0"/>
        <v>Gradient - Golden 4 - 24</v>
      </c>
      <c r="F20" s="116" t="s">
        <v>312</v>
      </c>
      <c r="G20" s="117" t="s">
        <v>362</v>
      </c>
      <c r="H20" s="118">
        <v>24.4</v>
      </c>
      <c r="I20" s="162" t="e">
        <f>Matériel!$G$14/H20</f>
        <v>#VALUE!</v>
      </c>
      <c r="J20" s="118">
        <v>21.02</v>
      </c>
      <c r="K20" s="162" t="e">
        <f>Matériel!$G$14/J20</f>
        <v>#VALUE!</v>
      </c>
      <c r="L20" s="172">
        <f>(H20-J20)/H20*100</f>
        <v>13.852459016393439</v>
      </c>
      <c r="M20" s="119">
        <v>5.3</v>
      </c>
      <c r="N20" s="144">
        <v>4.16</v>
      </c>
      <c r="O20" s="118">
        <v>4.9000000000000004</v>
      </c>
      <c r="P20" s="113">
        <v>51</v>
      </c>
      <c r="Q20" s="120" t="s">
        <v>284</v>
      </c>
      <c r="R20" s="118">
        <v>6.57</v>
      </c>
      <c r="S20" s="113">
        <v>241</v>
      </c>
      <c r="T20" s="20">
        <v>3340</v>
      </c>
      <c r="U20" s="31"/>
    </row>
    <row r="21" spans="1:22" s="136" customFormat="1" ht="198" x14ac:dyDescent="0.25">
      <c r="A21" s="36" t="s">
        <v>264</v>
      </c>
      <c r="B21" s="36" t="s">
        <v>265</v>
      </c>
      <c r="C21" s="121">
        <v>2013</v>
      </c>
      <c r="D21" s="88" t="s">
        <v>266</v>
      </c>
      <c r="E21" s="129" t="str">
        <f t="shared" si="0"/>
        <v>Ozone - Delta 2 - MS</v>
      </c>
      <c r="F21" s="96" t="s">
        <v>291</v>
      </c>
      <c r="G21" s="89" t="s">
        <v>288</v>
      </c>
      <c r="H21" s="91">
        <v>24.4</v>
      </c>
      <c r="I21" s="144" t="e">
        <f>Matériel!$G$14/H21</f>
        <v>#VALUE!</v>
      </c>
      <c r="J21" s="153">
        <v>20.5</v>
      </c>
      <c r="K21" s="145" t="e">
        <f>Matériel!$G$14/J21</f>
        <v>#VALUE!</v>
      </c>
      <c r="L21" s="107">
        <f>(H21-J21)/H21*100</f>
        <v>15.983606557377044</v>
      </c>
      <c r="M21" s="107">
        <v>6</v>
      </c>
      <c r="N21" s="146">
        <v>4.4000000000000004</v>
      </c>
      <c r="O21" s="90">
        <v>5</v>
      </c>
      <c r="P21" s="103">
        <v>62</v>
      </c>
      <c r="Q21" s="94" t="s">
        <v>289</v>
      </c>
      <c r="R21" s="106"/>
      <c r="S21" s="92"/>
      <c r="T21" s="92">
        <v>3800</v>
      </c>
      <c r="U21" s="23"/>
      <c r="V21" s="19" t="s">
        <v>22</v>
      </c>
    </row>
    <row r="22" spans="1:22" x14ac:dyDescent="0.25">
      <c r="A22" s="36" t="s">
        <v>267</v>
      </c>
      <c r="B22" s="36" t="s">
        <v>269</v>
      </c>
      <c r="C22" s="87">
        <v>2014</v>
      </c>
      <c r="D22" s="88" t="s">
        <v>487</v>
      </c>
      <c r="E22" s="125" t="str">
        <f t="shared" si="0"/>
        <v>Sky Paragliders - Argos - M</v>
      </c>
      <c r="F22" s="87" t="s">
        <v>312</v>
      </c>
      <c r="G22" s="89" t="s">
        <v>288</v>
      </c>
      <c r="H22" s="90">
        <v>24.15</v>
      </c>
      <c r="I22" s="145" t="e">
        <f>Matériel!$G$14/H22</f>
        <v>#VALUE!</v>
      </c>
      <c r="J22" s="153"/>
      <c r="K22" s="142"/>
      <c r="L22" s="142"/>
      <c r="M22" s="91">
        <v>5.5</v>
      </c>
      <c r="N22" s="142"/>
      <c r="O22" s="91">
        <v>4.4000000000000004</v>
      </c>
      <c r="P22" s="92">
        <v>59</v>
      </c>
      <c r="Q22" s="93" t="s">
        <v>313</v>
      </c>
      <c r="R22" s="94">
        <v>7.11</v>
      </c>
      <c r="S22" s="92"/>
      <c r="T22" s="92"/>
      <c r="U22" s="23"/>
    </row>
    <row r="23" spans="1:22" x14ac:dyDescent="0.25">
      <c r="A23" s="36" t="s">
        <v>250</v>
      </c>
      <c r="B23" s="36" t="s">
        <v>251</v>
      </c>
      <c r="C23" s="87">
        <v>2014</v>
      </c>
      <c r="D23" s="88" t="s">
        <v>252</v>
      </c>
      <c r="E23" s="125" t="str">
        <f t="shared" si="0"/>
        <v>Air Design - Rise 2 - S</v>
      </c>
      <c r="F23" s="89" t="s">
        <v>297</v>
      </c>
      <c r="G23" s="96" t="s">
        <v>362</v>
      </c>
      <c r="H23" s="90">
        <v>24</v>
      </c>
      <c r="I23" s="145" t="e">
        <f>Matériel!$G$14/H23</f>
        <v>#VALUE!</v>
      </c>
      <c r="J23" s="153"/>
      <c r="K23" s="142"/>
      <c r="L23" s="142"/>
      <c r="M23" s="91">
        <v>5.65</v>
      </c>
      <c r="N23" s="142"/>
      <c r="O23" s="90">
        <v>5.2</v>
      </c>
      <c r="P23" s="92">
        <v>49</v>
      </c>
      <c r="Q23" s="109" t="s">
        <v>298</v>
      </c>
      <c r="R23" s="106"/>
      <c r="S23" s="94">
        <v>252</v>
      </c>
      <c r="T23" s="92">
        <v>3500</v>
      </c>
      <c r="U23" s="99" t="s">
        <v>299</v>
      </c>
    </row>
    <row r="24" spans="1:22" ht="316.8" x14ac:dyDescent="0.25">
      <c r="A24" s="130" t="s">
        <v>277</v>
      </c>
      <c r="B24" s="130" t="s">
        <v>278</v>
      </c>
      <c r="C24" s="95">
        <v>2016</v>
      </c>
      <c r="D24" s="97" t="s">
        <v>252</v>
      </c>
      <c r="E24" s="129" t="str">
        <f t="shared" si="0"/>
        <v>Nervures - Diamir 2 - S</v>
      </c>
      <c r="F24" s="89" t="s">
        <v>297</v>
      </c>
      <c r="G24" s="89" t="s">
        <v>288</v>
      </c>
      <c r="H24" s="90">
        <v>24</v>
      </c>
      <c r="I24" s="145" t="e">
        <f>Matériel!$G$14/H24</f>
        <v>#VALUE!</v>
      </c>
      <c r="J24" s="153">
        <v>20.6</v>
      </c>
      <c r="K24" s="145" t="e">
        <f>Matériel!$G$14/J24</f>
        <v>#VALUE!</v>
      </c>
      <c r="L24" s="144">
        <f>(H24-J24)/H24*100</f>
        <v>14.166666666666661</v>
      </c>
      <c r="M24" s="90">
        <v>6.1</v>
      </c>
      <c r="N24" s="143">
        <v>4.74</v>
      </c>
      <c r="O24" s="91">
        <v>4.5</v>
      </c>
      <c r="P24" s="92">
        <v>63</v>
      </c>
      <c r="Q24" s="94" t="s">
        <v>284</v>
      </c>
      <c r="R24" s="91">
        <v>6.93</v>
      </c>
      <c r="S24" s="98">
        <v>291</v>
      </c>
      <c r="T24" s="98">
        <v>4150</v>
      </c>
      <c r="U24" s="99" t="s">
        <v>300</v>
      </c>
      <c r="V24" s="27" t="s">
        <v>1799</v>
      </c>
    </row>
    <row r="25" spans="1:22" x14ac:dyDescent="0.25">
      <c r="A25" s="36" t="s">
        <v>514</v>
      </c>
      <c r="B25" s="36" t="s">
        <v>271</v>
      </c>
      <c r="C25" s="95">
        <v>2015</v>
      </c>
      <c r="D25" s="88" t="s">
        <v>252</v>
      </c>
      <c r="E25" s="129" t="str">
        <f t="shared" si="0"/>
        <v>Swing - Nexus - S</v>
      </c>
      <c r="F25" s="95" t="s">
        <v>314</v>
      </c>
      <c r="G25" s="87" t="s">
        <v>288</v>
      </c>
      <c r="H25" s="90">
        <v>24</v>
      </c>
      <c r="I25" s="145" t="e">
        <f>Matériel!$G$14/H25</f>
        <v>#VALUE!</v>
      </c>
      <c r="J25" s="153"/>
      <c r="K25" s="142"/>
      <c r="L25" s="142"/>
      <c r="M25" s="90">
        <v>6.1</v>
      </c>
      <c r="N25" s="143">
        <v>4.7</v>
      </c>
      <c r="O25" s="90">
        <v>5.2</v>
      </c>
      <c r="P25" s="92">
        <v>64</v>
      </c>
      <c r="Q25" s="108" t="s">
        <v>289</v>
      </c>
      <c r="R25" s="90">
        <v>7.13</v>
      </c>
      <c r="S25" s="92"/>
      <c r="T25" s="92"/>
      <c r="U25" s="23"/>
    </row>
    <row r="26" spans="1:22" ht="303.60000000000002" x14ac:dyDescent="0.25">
      <c r="A26" s="36" t="s">
        <v>255</v>
      </c>
      <c r="B26" s="36" t="s">
        <v>65</v>
      </c>
      <c r="C26" s="95">
        <v>2016</v>
      </c>
      <c r="D26" s="132">
        <v>24</v>
      </c>
      <c r="E26" s="168" t="str">
        <f t="shared" si="0"/>
        <v>Gradient - Nevada 2 - 24</v>
      </c>
      <c r="F26" s="140" t="s">
        <v>312</v>
      </c>
      <c r="G26" s="140" t="s">
        <v>362</v>
      </c>
      <c r="H26" s="90">
        <v>23.2</v>
      </c>
      <c r="I26" s="145" t="e">
        <f>Matériel!$G$14/H26</f>
        <v>#VALUE!</v>
      </c>
      <c r="J26" s="153">
        <v>19.61</v>
      </c>
      <c r="K26" s="145" t="e">
        <f>Matériel!$G$14/J26</f>
        <v>#VALUE!</v>
      </c>
      <c r="L26" s="107">
        <f>(H26-J26)/H26*100</f>
        <v>15.474137931034482</v>
      </c>
      <c r="M26" s="91">
        <v>5.75</v>
      </c>
      <c r="N26" s="144">
        <v>4.1399999999999997</v>
      </c>
      <c r="O26" s="91">
        <v>4.7</v>
      </c>
      <c r="P26" s="138">
        <v>56</v>
      </c>
      <c r="Q26" s="100" t="s">
        <v>66</v>
      </c>
      <c r="R26" s="109">
        <v>7.07</v>
      </c>
      <c r="S26" s="101">
        <v>215</v>
      </c>
      <c r="T26" s="138">
        <v>3750</v>
      </c>
      <c r="U26" s="37" t="s">
        <v>3</v>
      </c>
      <c r="V26" s="139" t="s">
        <v>1798</v>
      </c>
    </row>
    <row r="27" spans="1:22" s="136" customFormat="1" x14ac:dyDescent="0.25">
      <c r="A27" s="37" t="s">
        <v>264</v>
      </c>
      <c r="B27" s="37" t="s">
        <v>80</v>
      </c>
      <c r="C27" s="132">
        <v>2017</v>
      </c>
      <c r="D27" s="88" t="s">
        <v>266</v>
      </c>
      <c r="E27" s="156" t="str">
        <f t="shared" si="0"/>
        <v>Ozone - Delta 3 - MS</v>
      </c>
      <c r="F27" s="96" t="s">
        <v>291</v>
      </c>
      <c r="G27" s="89" t="s">
        <v>288</v>
      </c>
      <c r="H27" s="90">
        <v>23.1</v>
      </c>
      <c r="I27" s="145" t="e">
        <f>Matériel!$G$14/H27</f>
        <v>#VALUE!</v>
      </c>
      <c r="J27" s="131">
        <v>19.600000000000001</v>
      </c>
      <c r="K27" s="145" t="e">
        <f>Matériel!$G$14/J27</f>
        <v>#VALUE!</v>
      </c>
      <c r="L27" s="107">
        <f>(H27-J27)/H27*100</f>
        <v>15.151515151515152</v>
      </c>
      <c r="M27" s="107">
        <v>6</v>
      </c>
      <c r="N27" s="144">
        <v>4.4000000000000004</v>
      </c>
      <c r="O27" s="131">
        <v>5.3</v>
      </c>
      <c r="P27" s="157">
        <v>66</v>
      </c>
      <c r="Q27" s="94" t="s">
        <v>289</v>
      </c>
      <c r="R27" s="131">
        <v>7.27</v>
      </c>
      <c r="S27" s="138"/>
      <c r="T27" s="138"/>
      <c r="U27" s="36"/>
      <c r="V27" s="139"/>
    </row>
    <row r="28" spans="1:22" x14ac:dyDescent="0.25">
      <c r="A28" s="36" t="s">
        <v>255</v>
      </c>
      <c r="B28" s="36" t="s">
        <v>146</v>
      </c>
      <c r="C28" s="121">
        <v>2017</v>
      </c>
      <c r="D28" s="88">
        <v>24</v>
      </c>
      <c r="E28" s="170" t="str">
        <f t="shared" si="0"/>
        <v>Gradient - Aspen 6 - 24</v>
      </c>
      <c r="F28" s="89" t="s">
        <v>147</v>
      </c>
      <c r="G28" s="89" t="s">
        <v>288</v>
      </c>
      <c r="H28" s="105">
        <v>22.73</v>
      </c>
      <c r="I28" s="145" t="e">
        <f>Matériel!$G$14/H28</f>
        <v>#VALUE!</v>
      </c>
      <c r="J28" s="153">
        <v>18.93</v>
      </c>
      <c r="K28" s="145" t="e">
        <f>Matériel!$G$14/J28</f>
        <v>#VALUE!</v>
      </c>
      <c r="L28" s="107">
        <f>(H28-J28)/H28*100</f>
        <v>16.717993840739116</v>
      </c>
      <c r="M28" s="105">
        <v>6.46</v>
      </c>
      <c r="N28" s="145">
        <v>4.99</v>
      </c>
      <c r="O28" s="91">
        <v>4.5</v>
      </c>
      <c r="P28" s="92">
        <v>66</v>
      </c>
      <c r="Q28" s="109" t="s">
        <v>148</v>
      </c>
      <c r="R28" s="94">
        <v>7</v>
      </c>
      <c r="S28" s="101">
        <v>244</v>
      </c>
      <c r="T28" s="92">
        <v>3950</v>
      </c>
      <c r="U28" s="23"/>
    </row>
    <row r="29" spans="1:22" s="136" customFormat="1" x14ac:dyDescent="0.25">
      <c r="A29" s="36" t="s">
        <v>267</v>
      </c>
      <c r="B29" s="36" t="s">
        <v>87</v>
      </c>
      <c r="C29" s="132">
        <v>2017</v>
      </c>
      <c r="D29" s="132" t="s">
        <v>487</v>
      </c>
      <c r="E29" s="170" t="str">
        <f t="shared" si="0"/>
        <v>Sky Paragliders - Exos - M</v>
      </c>
      <c r="F29" s="137" t="s">
        <v>88</v>
      </c>
      <c r="G29" s="173" t="s">
        <v>288</v>
      </c>
      <c r="H29" s="105">
        <v>22.12</v>
      </c>
      <c r="I29" s="145" t="e">
        <f>Matériel!$G$14/H29</f>
        <v>#VALUE!</v>
      </c>
      <c r="J29" s="131">
        <v>19.420000000000002</v>
      </c>
      <c r="K29" s="145" t="e">
        <f>Matériel!$G$14/J29</f>
        <v>#VALUE!</v>
      </c>
      <c r="L29" s="144">
        <f>(H29-J29)/H29*100</f>
        <v>12.206148282097645</v>
      </c>
      <c r="M29" s="111">
        <v>6.4</v>
      </c>
      <c r="N29" s="174">
        <v>4.92</v>
      </c>
      <c r="O29" s="91">
        <v>4</v>
      </c>
      <c r="P29" s="157">
        <v>65</v>
      </c>
      <c r="Q29" s="109" t="s">
        <v>89</v>
      </c>
      <c r="R29" s="105">
        <v>7.68</v>
      </c>
      <c r="S29" s="158" t="s">
        <v>67</v>
      </c>
      <c r="T29" s="138">
        <v>4150</v>
      </c>
      <c r="U29" s="37"/>
      <c r="V29" s="139"/>
    </row>
    <row r="30" spans="1:22" x14ac:dyDescent="0.25">
      <c r="A30" s="279" t="s">
        <v>506</v>
      </c>
      <c r="B30" s="279" t="s">
        <v>2256</v>
      </c>
      <c r="C30" s="72">
        <v>2021</v>
      </c>
      <c r="D30" s="72">
        <v>24</v>
      </c>
      <c r="E30" s="281" t="str">
        <f t="shared" si="0"/>
        <v>Advance - Sigma 11 - 24</v>
      </c>
      <c r="F30" s="72" t="s">
        <v>2257</v>
      </c>
      <c r="G30" s="72" t="s">
        <v>288</v>
      </c>
      <c r="H30" s="74">
        <v>23.6</v>
      </c>
      <c r="J30" s="154">
        <v>20.100000000000001</v>
      </c>
      <c r="L30" s="160">
        <f>(H30-J30)/H30*100</f>
        <v>14.83050847457627</v>
      </c>
      <c r="M30" s="74">
        <v>6.07</v>
      </c>
      <c r="N30" s="150">
        <v>4.4800000000000004</v>
      </c>
      <c r="O30" s="74">
        <v>4.5</v>
      </c>
      <c r="P30" s="73">
        <v>67</v>
      </c>
      <c r="Q30" s="265" t="s">
        <v>2258</v>
      </c>
    </row>
  </sheetData>
  <autoFilter ref="A1:V29">
    <sortState ref="A2:V30">
      <sortCondition ref="I4"/>
    </sortState>
  </autoFilter>
  <phoneticPr fontId="14" type="noConversion"/>
  <pageMargins left="0.70866141732283472" right="0.70866141732283472" top="0.74803149606299213" bottom="0.74803149606299213" header="0.31496062992125984" footer="0.31496062992125984"/>
  <pageSetup paperSize="9" scale="68"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25"/>
  <sheetViews>
    <sheetView zoomScaleNormal="100" zoomScalePageLayoutView="70" workbookViewId="0">
      <pane xSplit="2" ySplit="1" topLeftCell="C21" activePane="bottomRight" state="frozenSplit"/>
      <selection pane="topRight" activeCell="J1" sqref="J1"/>
      <selection pane="bottomLeft" activeCell="A3" sqref="A3"/>
      <selection pane="bottomRight" activeCell="F25" sqref="F25"/>
    </sheetView>
  </sheetViews>
  <sheetFormatPr baseColWidth="10" defaultRowHeight="13.2" x14ac:dyDescent="0.25"/>
  <cols>
    <col min="1" max="1" width="9.33203125" customWidth="1"/>
    <col min="2" max="2" width="26.44140625" bestFit="1" customWidth="1"/>
    <col min="3" max="3" width="10.88671875" style="72" customWidth="1"/>
    <col min="4" max="4" width="7.5546875" style="72" bestFit="1" customWidth="1"/>
    <col min="5" max="5" width="27.6640625" style="268" customWidth="1"/>
    <col min="6" max="6" width="40.88671875" style="128" customWidth="1"/>
    <col min="7" max="7" width="7.6640625" style="72" bestFit="1" customWidth="1"/>
    <col min="8" max="8" width="8.5546875" style="72" bestFit="1" customWidth="1"/>
    <col min="9" max="9" width="14.6640625" style="74" bestFit="1" customWidth="1"/>
    <col min="10" max="10" width="8.5546875" style="160" customWidth="1"/>
    <col min="11" max="11" width="14.6640625" style="154" customWidth="1"/>
    <col min="12" max="12" width="8.5546875" style="160" customWidth="1"/>
    <col min="13" max="13" width="13.5546875" style="74" bestFit="1" customWidth="1"/>
    <col min="14" max="14" width="13.5546875" style="150" customWidth="1"/>
    <col min="15" max="15" width="8" style="74" bestFit="1" customWidth="1"/>
    <col min="16" max="16" width="13" style="73" bestFit="1" customWidth="1"/>
    <col min="17" max="17" width="12.88671875" style="73" bestFit="1" customWidth="1"/>
    <col min="18" max="18" width="15.44140625" style="74" bestFit="1" customWidth="1"/>
    <col min="19" max="19" width="10.88671875" style="73" bestFit="1" customWidth="1"/>
    <col min="20" max="20" width="6.33203125" style="73" bestFit="1" customWidth="1"/>
    <col min="21" max="21" width="19.6640625" bestFit="1" customWidth="1"/>
    <col min="22" max="22" width="111.88671875" style="19" customWidth="1"/>
  </cols>
  <sheetData>
    <row r="1" spans="1:22" ht="26.4" x14ac:dyDescent="0.25">
      <c r="A1" s="20" t="s">
        <v>460</v>
      </c>
      <c r="B1" s="20" t="s">
        <v>461</v>
      </c>
      <c r="C1" s="21" t="s">
        <v>241</v>
      </c>
      <c r="D1" s="20" t="s">
        <v>246</v>
      </c>
      <c r="E1" s="269" t="s">
        <v>2091</v>
      </c>
      <c r="F1" s="269" t="s">
        <v>2092</v>
      </c>
      <c r="G1" s="31" t="s">
        <v>285</v>
      </c>
      <c r="H1" s="20" t="s">
        <v>276</v>
      </c>
      <c r="I1" s="85" t="s">
        <v>253</v>
      </c>
      <c r="J1" s="159" t="s">
        <v>82</v>
      </c>
      <c r="K1" s="152" t="s">
        <v>79</v>
      </c>
      <c r="L1" s="159" t="s">
        <v>83</v>
      </c>
      <c r="M1" s="86" t="s">
        <v>248</v>
      </c>
      <c r="N1" s="141" t="s">
        <v>154</v>
      </c>
      <c r="O1" s="85" t="s">
        <v>249</v>
      </c>
      <c r="P1" s="20" t="s">
        <v>280</v>
      </c>
      <c r="Q1" s="20" t="s">
        <v>281</v>
      </c>
      <c r="R1" s="85" t="s">
        <v>282</v>
      </c>
      <c r="S1" s="20" t="s">
        <v>283</v>
      </c>
      <c r="T1" s="20" t="s">
        <v>279</v>
      </c>
      <c r="U1" s="31" t="s">
        <v>292</v>
      </c>
      <c r="V1" s="27" t="s">
        <v>145</v>
      </c>
    </row>
    <row r="2" spans="1:22" x14ac:dyDescent="0.25">
      <c r="A2" s="23"/>
      <c r="B2" s="88"/>
      <c r="C2" s="88"/>
      <c r="D2" s="88"/>
      <c r="E2" s="124"/>
      <c r="F2" s="127"/>
      <c r="G2" s="88"/>
      <c r="H2" s="88"/>
      <c r="I2" s="106"/>
      <c r="J2" s="142"/>
      <c r="K2" s="153"/>
      <c r="L2" s="142"/>
      <c r="M2" s="106"/>
      <c r="N2" s="149"/>
      <c r="O2" s="106"/>
      <c r="P2" s="92"/>
      <c r="Q2" s="92"/>
      <c r="R2" s="106"/>
      <c r="S2" s="92"/>
      <c r="T2" s="92"/>
      <c r="U2" s="23"/>
    </row>
    <row r="3" spans="1:22" x14ac:dyDescent="0.25">
      <c r="A3" s="122" t="s">
        <v>514</v>
      </c>
      <c r="B3" s="123" t="s">
        <v>116</v>
      </c>
      <c r="C3" s="88">
        <v>1998</v>
      </c>
      <c r="D3" s="88" t="s">
        <v>487</v>
      </c>
      <c r="E3" s="124"/>
      <c r="F3" s="127"/>
      <c r="G3" s="88" t="s">
        <v>109</v>
      </c>
      <c r="H3" s="88" t="s">
        <v>105</v>
      </c>
      <c r="I3" s="106">
        <v>29.2</v>
      </c>
      <c r="J3" s="142"/>
      <c r="K3" s="153"/>
      <c r="L3" s="142"/>
      <c r="M3" s="106">
        <v>5.15</v>
      </c>
      <c r="N3" s="149"/>
      <c r="O3" s="106">
        <v>6.2</v>
      </c>
      <c r="P3" s="92">
        <v>54</v>
      </c>
      <c r="Q3" s="92" t="s">
        <v>110</v>
      </c>
      <c r="R3" s="106">
        <v>7.5</v>
      </c>
      <c r="S3" s="92"/>
      <c r="T3" s="92">
        <v>3000</v>
      </c>
      <c r="U3" s="23"/>
    </row>
    <row r="4" spans="1:22" x14ac:dyDescent="0.25">
      <c r="A4" s="122" t="s">
        <v>506</v>
      </c>
      <c r="B4" s="123" t="s">
        <v>117</v>
      </c>
      <c r="C4" s="88">
        <v>1999</v>
      </c>
      <c r="D4" s="88">
        <v>28</v>
      </c>
      <c r="E4" s="124"/>
      <c r="F4" s="127"/>
      <c r="G4" s="88" t="s">
        <v>111</v>
      </c>
      <c r="H4" s="88" t="s">
        <v>112</v>
      </c>
      <c r="I4" s="106">
        <v>27.4</v>
      </c>
      <c r="J4" s="142"/>
      <c r="K4" s="153"/>
      <c r="L4" s="142"/>
      <c r="M4" s="106">
        <v>4.8</v>
      </c>
      <c r="N4" s="149"/>
      <c r="O4" s="106">
        <v>6.3</v>
      </c>
      <c r="P4" s="92">
        <v>37</v>
      </c>
      <c r="Q4" s="92" t="s">
        <v>113</v>
      </c>
      <c r="R4" s="106">
        <v>7.94</v>
      </c>
      <c r="S4" s="92"/>
      <c r="T4" s="92">
        <v>2900</v>
      </c>
      <c r="U4" s="23"/>
    </row>
    <row r="5" spans="1:22" x14ac:dyDescent="0.25">
      <c r="A5" s="122" t="s">
        <v>107</v>
      </c>
      <c r="B5" s="123" t="s">
        <v>118</v>
      </c>
      <c r="C5" s="88">
        <v>1999</v>
      </c>
      <c r="D5" s="88">
        <v>27</v>
      </c>
      <c r="E5" s="124"/>
      <c r="F5" s="127"/>
      <c r="G5" s="88" t="s">
        <v>108</v>
      </c>
      <c r="H5" s="88" t="s">
        <v>105</v>
      </c>
      <c r="I5" s="106">
        <v>27.1</v>
      </c>
      <c r="J5" s="142"/>
      <c r="K5" s="153"/>
      <c r="L5" s="142"/>
      <c r="M5" s="106">
        <v>5.41</v>
      </c>
      <c r="N5" s="149"/>
      <c r="O5" s="106">
        <v>6.8</v>
      </c>
      <c r="P5" s="92">
        <v>67</v>
      </c>
      <c r="Q5" s="92" t="s">
        <v>106</v>
      </c>
      <c r="R5" s="106">
        <v>7.7</v>
      </c>
      <c r="S5" s="92"/>
      <c r="T5" s="92">
        <v>3000</v>
      </c>
      <c r="U5" s="23"/>
    </row>
    <row r="6" spans="1:22" x14ac:dyDescent="0.25">
      <c r="A6" s="122" t="s">
        <v>107</v>
      </c>
      <c r="B6" s="123" t="s">
        <v>119</v>
      </c>
      <c r="C6" s="88">
        <v>2001</v>
      </c>
      <c r="D6" s="88" t="s">
        <v>487</v>
      </c>
      <c r="E6" s="124"/>
      <c r="F6" s="127"/>
      <c r="G6" s="88" t="s">
        <v>108</v>
      </c>
      <c r="H6" s="88" t="s">
        <v>112</v>
      </c>
      <c r="I6" s="106">
        <v>27.55</v>
      </c>
      <c r="J6" s="142"/>
      <c r="K6" s="153"/>
      <c r="L6" s="142"/>
      <c r="M6" s="106">
        <v>5.05</v>
      </c>
      <c r="N6" s="149"/>
      <c r="O6" s="106">
        <v>7.2</v>
      </c>
      <c r="P6" s="92">
        <v>54</v>
      </c>
      <c r="Q6" s="92" t="s">
        <v>114</v>
      </c>
      <c r="R6" s="106">
        <v>7.2</v>
      </c>
      <c r="S6" s="92"/>
      <c r="T6" s="92"/>
      <c r="U6" s="23"/>
    </row>
    <row r="7" spans="1:22" x14ac:dyDescent="0.25">
      <c r="A7" s="122" t="s">
        <v>255</v>
      </c>
      <c r="B7" s="123" t="s">
        <v>120</v>
      </c>
      <c r="C7" s="88">
        <v>2003</v>
      </c>
      <c r="D7" s="88">
        <v>26</v>
      </c>
      <c r="E7" s="124"/>
      <c r="F7" s="127"/>
      <c r="G7" s="88" t="s">
        <v>104</v>
      </c>
      <c r="H7" s="88" t="s">
        <v>105</v>
      </c>
      <c r="I7" s="106">
        <v>26.34</v>
      </c>
      <c r="J7" s="142"/>
      <c r="K7" s="153"/>
      <c r="L7" s="142"/>
      <c r="M7" s="106">
        <v>5.58</v>
      </c>
      <c r="N7" s="149"/>
      <c r="O7" s="106">
        <v>5.5</v>
      </c>
      <c r="P7" s="92">
        <v>52</v>
      </c>
      <c r="Q7" s="92" t="s">
        <v>106</v>
      </c>
      <c r="R7" s="106">
        <v>7.38</v>
      </c>
      <c r="S7" s="92">
        <v>360</v>
      </c>
      <c r="T7" s="92">
        <v>3050</v>
      </c>
      <c r="U7" s="23"/>
    </row>
    <row r="8" spans="1:22" ht="79.2" x14ac:dyDescent="0.25">
      <c r="A8" s="122" t="s">
        <v>255</v>
      </c>
      <c r="B8" s="123" t="s">
        <v>121</v>
      </c>
      <c r="C8" s="88">
        <v>2013</v>
      </c>
      <c r="D8" s="88">
        <v>24</v>
      </c>
      <c r="E8" s="124" t="s">
        <v>10</v>
      </c>
      <c r="F8" s="127"/>
      <c r="G8" s="88" t="s">
        <v>312</v>
      </c>
      <c r="H8" s="88" t="s">
        <v>362</v>
      </c>
      <c r="I8" s="106">
        <v>24.4</v>
      </c>
      <c r="K8" s="153">
        <v>21</v>
      </c>
      <c r="L8" s="142"/>
      <c r="M8" s="106">
        <v>5.3</v>
      </c>
      <c r="N8" s="149">
        <v>4.16</v>
      </c>
      <c r="O8" s="106">
        <v>4.9000000000000004</v>
      </c>
      <c r="P8" s="92">
        <v>51</v>
      </c>
      <c r="Q8" s="92" t="s">
        <v>115</v>
      </c>
      <c r="R8" s="106">
        <v>6.57</v>
      </c>
      <c r="S8" s="92">
        <v>241</v>
      </c>
      <c r="T8" s="92">
        <v>3340</v>
      </c>
      <c r="U8" s="23"/>
    </row>
    <row r="9" spans="1:22" ht="277.2" x14ac:dyDescent="0.25">
      <c r="A9" s="262" t="s">
        <v>255</v>
      </c>
      <c r="B9" s="263" t="s">
        <v>2011</v>
      </c>
      <c r="C9" s="72">
        <v>2017</v>
      </c>
      <c r="D9" s="72">
        <v>24</v>
      </c>
      <c r="E9" s="268" t="s">
        <v>2030</v>
      </c>
      <c r="F9" s="269" t="s">
        <v>2414</v>
      </c>
      <c r="G9" s="72" t="s">
        <v>2031</v>
      </c>
      <c r="H9" s="72" t="s">
        <v>362</v>
      </c>
      <c r="I9" s="74">
        <v>23.2</v>
      </c>
      <c r="J9" s="160">
        <v>3.8</v>
      </c>
      <c r="K9" s="154">
        <v>19.61</v>
      </c>
      <c r="L9" s="160">
        <v>4.5</v>
      </c>
      <c r="M9" s="74">
        <v>5.8</v>
      </c>
      <c r="N9" s="150">
        <v>4.1399999999999997</v>
      </c>
      <c r="O9" s="74">
        <v>4</v>
      </c>
      <c r="P9" s="73">
        <v>56</v>
      </c>
      <c r="Q9" s="265" t="s">
        <v>290</v>
      </c>
    </row>
    <row r="10" spans="1:22" ht="52.8" hidden="1" x14ac:dyDescent="0.25">
      <c r="A10">
        <v>777</v>
      </c>
      <c r="B10" s="263" t="s">
        <v>2029</v>
      </c>
      <c r="C10" s="72">
        <v>2018</v>
      </c>
      <c r="D10" s="72" t="s">
        <v>266</v>
      </c>
      <c r="E10" s="268" t="s">
        <v>2179</v>
      </c>
      <c r="F10" s="269" t="s">
        <v>2089</v>
      </c>
      <c r="G10" s="72" t="s">
        <v>104</v>
      </c>
      <c r="H10" s="264" t="s">
        <v>288</v>
      </c>
      <c r="I10" s="74">
        <v>25.3</v>
      </c>
      <c r="J10" s="142">
        <v>3.75</v>
      </c>
      <c r="K10" s="154">
        <v>21.4</v>
      </c>
      <c r="L10" s="160">
        <v>4.4400000000000004</v>
      </c>
      <c r="M10" s="74">
        <v>6.3</v>
      </c>
      <c r="N10" s="150">
        <v>4.5999999999999996</v>
      </c>
      <c r="O10" s="73">
        <v>5.0999999999999996</v>
      </c>
      <c r="P10" s="73">
        <v>73</v>
      </c>
      <c r="Q10" s="74" t="s">
        <v>284</v>
      </c>
      <c r="R10" s="73"/>
      <c r="T10"/>
    </row>
    <row r="11" spans="1:22" ht="66" hidden="1" x14ac:dyDescent="0.25">
      <c r="A11" s="270" t="s">
        <v>255</v>
      </c>
      <c r="B11" s="271" t="s">
        <v>2090</v>
      </c>
      <c r="C11" s="72">
        <v>2013</v>
      </c>
      <c r="D11" s="72">
        <v>38</v>
      </c>
      <c r="E11" s="272" t="s">
        <v>2093</v>
      </c>
      <c r="F11" s="269" t="s">
        <v>2094</v>
      </c>
      <c r="G11" s="133"/>
      <c r="H11" s="133"/>
      <c r="I11" s="134"/>
      <c r="J11" s="161"/>
      <c r="K11" s="155"/>
      <c r="L11" s="161"/>
      <c r="M11" s="134"/>
      <c r="N11" s="151"/>
      <c r="O11" s="134"/>
      <c r="Q11" s="163"/>
      <c r="R11" s="134"/>
      <c r="S11" s="135"/>
      <c r="T11" s="135"/>
      <c r="V11" s="27"/>
    </row>
    <row r="12" spans="1:22" ht="26.4" hidden="1" x14ac:dyDescent="0.25">
      <c r="A12" s="270" t="s">
        <v>471</v>
      </c>
      <c r="B12" s="271" t="s">
        <v>2127</v>
      </c>
      <c r="C12" s="72">
        <v>2016</v>
      </c>
      <c r="E12" s="272" t="s">
        <v>2298</v>
      </c>
      <c r="F12" s="272" t="s">
        <v>2299</v>
      </c>
      <c r="G12" s="133" t="s">
        <v>2130</v>
      </c>
      <c r="H12" s="133"/>
      <c r="I12" s="134"/>
      <c r="J12" s="161"/>
      <c r="K12" s="155"/>
      <c r="L12" s="161"/>
      <c r="M12" s="134"/>
      <c r="N12" s="151"/>
      <c r="O12" s="134"/>
      <c r="Q12" s="163"/>
      <c r="R12" s="134"/>
      <c r="S12" s="135"/>
      <c r="T12" s="135"/>
      <c r="V12" s="27"/>
    </row>
    <row r="13" spans="1:22" ht="26.4" hidden="1" x14ac:dyDescent="0.25">
      <c r="A13" s="270" t="s">
        <v>471</v>
      </c>
      <c r="B13" s="271" t="s">
        <v>2128</v>
      </c>
      <c r="C13" s="72">
        <v>2019</v>
      </c>
      <c r="E13" s="272" t="s">
        <v>2300</v>
      </c>
      <c r="F13" s="272" t="s">
        <v>2302</v>
      </c>
      <c r="G13" s="133" t="s">
        <v>2129</v>
      </c>
      <c r="H13" s="133"/>
      <c r="I13" s="134"/>
      <c r="J13" s="161"/>
      <c r="K13" s="155"/>
      <c r="L13" s="161"/>
      <c r="M13" s="134"/>
      <c r="N13" s="151"/>
      <c r="O13" s="134"/>
      <c r="Q13" s="163"/>
      <c r="R13" s="134"/>
      <c r="S13" s="135"/>
      <c r="T13" s="135"/>
      <c r="V13" s="27"/>
    </row>
    <row r="14" spans="1:22" ht="79.2" hidden="1" x14ac:dyDescent="0.25">
      <c r="A14" s="270" t="s">
        <v>2121</v>
      </c>
      <c r="B14" s="271" t="s">
        <v>2122</v>
      </c>
      <c r="C14" s="72">
        <v>2013</v>
      </c>
      <c r="D14" s="72" t="s">
        <v>2123</v>
      </c>
      <c r="E14" s="268" t="s">
        <v>2132</v>
      </c>
      <c r="F14" s="272" t="s">
        <v>2427</v>
      </c>
      <c r="G14" s="29" t="s">
        <v>2301</v>
      </c>
    </row>
    <row r="15" spans="1:22" ht="52.8" hidden="1" x14ac:dyDescent="0.25">
      <c r="A15" s="270" t="s">
        <v>471</v>
      </c>
      <c r="B15" s="271" t="s">
        <v>2124</v>
      </c>
      <c r="C15" s="72">
        <v>2017</v>
      </c>
      <c r="D15" s="72" t="s">
        <v>2125</v>
      </c>
      <c r="E15" s="268" t="s">
        <v>2131</v>
      </c>
      <c r="F15" s="268" t="s">
        <v>2203</v>
      </c>
      <c r="G15" s="72" t="s">
        <v>2126</v>
      </c>
    </row>
    <row r="16" spans="1:22" ht="39.6" hidden="1" x14ac:dyDescent="0.25">
      <c r="A16" s="270" t="s">
        <v>471</v>
      </c>
      <c r="B16" s="271" t="s">
        <v>2178</v>
      </c>
      <c r="C16" s="72">
        <v>2020</v>
      </c>
      <c r="E16" s="268" t="s">
        <v>2204</v>
      </c>
      <c r="G16" s="72" t="s">
        <v>2126</v>
      </c>
    </row>
    <row r="17" spans="1:17" ht="39.6" hidden="1" x14ac:dyDescent="0.25">
      <c r="A17" s="270" t="s">
        <v>524</v>
      </c>
      <c r="B17" s="271" t="s">
        <v>2180</v>
      </c>
      <c r="C17" s="72">
        <v>2020</v>
      </c>
      <c r="D17" s="72" t="s">
        <v>487</v>
      </c>
      <c r="E17" s="268" t="s">
        <v>2181</v>
      </c>
    </row>
    <row r="18" spans="1:17" ht="26.4" hidden="1" x14ac:dyDescent="0.25">
      <c r="A18" s="270" t="s">
        <v>471</v>
      </c>
      <c r="B18" s="271" t="s">
        <v>2182</v>
      </c>
      <c r="C18" s="72">
        <v>2020</v>
      </c>
      <c r="D18" s="72" t="s">
        <v>2183</v>
      </c>
      <c r="E18" s="268" t="s">
        <v>2185</v>
      </c>
    </row>
    <row r="19" spans="1:17" ht="26.4" hidden="1" x14ac:dyDescent="0.25">
      <c r="A19" s="270" t="s">
        <v>471</v>
      </c>
      <c r="B19" s="271" t="s">
        <v>2184</v>
      </c>
      <c r="C19" s="72">
        <v>2020</v>
      </c>
      <c r="E19" s="268" t="s">
        <v>2186</v>
      </c>
    </row>
    <row r="20" spans="1:17" ht="132" hidden="1" x14ac:dyDescent="0.25">
      <c r="A20" s="270" t="s">
        <v>2205</v>
      </c>
      <c r="B20" s="271" t="s">
        <v>2206</v>
      </c>
      <c r="C20" s="72">
        <v>2018</v>
      </c>
      <c r="E20" s="268" t="s">
        <v>2241</v>
      </c>
    </row>
    <row r="21" spans="1:17" ht="66" x14ac:dyDescent="0.25">
      <c r="A21" s="270" t="s">
        <v>506</v>
      </c>
      <c r="B21" s="271" t="s">
        <v>2256</v>
      </c>
      <c r="C21" s="72">
        <v>2022</v>
      </c>
      <c r="D21" s="72">
        <v>24</v>
      </c>
      <c r="E21" s="268" t="s">
        <v>2270</v>
      </c>
      <c r="F21" s="268" t="s">
        <v>2425</v>
      </c>
      <c r="G21" s="283" t="s">
        <v>104</v>
      </c>
      <c r="H21" s="72" t="s">
        <v>2426</v>
      </c>
      <c r="I21" s="74">
        <v>23.6</v>
      </c>
      <c r="J21" s="160">
        <v>3.8</v>
      </c>
      <c r="K21" s="154">
        <v>20.100000000000001</v>
      </c>
      <c r="L21" s="160">
        <v>4.4800000000000004</v>
      </c>
      <c r="M21" s="74">
        <v>6.01</v>
      </c>
      <c r="N21" s="150">
        <v>4.4800000000000004</v>
      </c>
      <c r="O21" s="74">
        <v>4.45</v>
      </c>
      <c r="P21" s="73">
        <v>65</v>
      </c>
      <c r="Q21" s="284" t="s">
        <v>2428</v>
      </c>
    </row>
    <row r="22" spans="1:17" ht="26.4" x14ac:dyDescent="0.25">
      <c r="A22" s="270" t="s">
        <v>2397</v>
      </c>
      <c r="B22" s="271" t="s">
        <v>2398</v>
      </c>
      <c r="C22" s="72">
        <v>2023</v>
      </c>
      <c r="D22" s="72" t="s">
        <v>2399</v>
      </c>
      <c r="E22" s="268" t="s">
        <v>2401</v>
      </c>
      <c r="G22" s="72" t="s">
        <v>2400</v>
      </c>
    </row>
    <row r="23" spans="1:17" x14ac:dyDescent="0.25">
      <c r="A23" s="270" t="s">
        <v>471</v>
      </c>
      <c r="B23" s="271" t="s">
        <v>2402</v>
      </c>
      <c r="C23" s="72">
        <v>2023</v>
      </c>
      <c r="E23" s="268" t="s">
        <v>2403</v>
      </c>
    </row>
    <row r="24" spans="1:17" ht="52.8" x14ac:dyDescent="0.25">
      <c r="A24" s="270" t="s">
        <v>261</v>
      </c>
      <c r="B24" s="271" t="s">
        <v>2481</v>
      </c>
      <c r="C24" s="72">
        <v>2024</v>
      </c>
      <c r="D24" s="72">
        <v>24</v>
      </c>
      <c r="E24" s="268" t="s">
        <v>2482</v>
      </c>
      <c r="F24" s="268" t="s">
        <v>2667</v>
      </c>
      <c r="G24" s="72" t="s">
        <v>2616</v>
      </c>
      <c r="H24" s="72" t="s">
        <v>2617</v>
      </c>
    </row>
    <row r="25" spans="1:17" ht="26.4" x14ac:dyDescent="0.25">
      <c r="A25" s="270" t="s">
        <v>524</v>
      </c>
      <c r="B25" s="271" t="s">
        <v>2483</v>
      </c>
      <c r="C25" s="72">
        <v>2024</v>
      </c>
      <c r="D25" s="72" t="s">
        <v>487</v>
      </c>
      <c r="E25" s="268" t="s">
        <v>2484</v>
      </c>
    </row>
  </sheetData>
  <phoneticPr fontId="14" type="noConversion"/>
  <pageMargins left="0.70866141732283472" right="0.70866141732283472" top="0.74803149606299213" bottom="0.74803149606299213" header="0.31496062992125984" footer="0.31496062992125984"/>
  <pageSetup paperSize="9" scale="68"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11" zoomScale="80" zoomScaleNormal="80" workbookViewId="0">
      <selection activeCell="E31" sqref="E31"/>
    </sheetView>
  </sheetViews>
  <sheetFormatPr baseColWidth="10" defaultRowHeight="13.2" x14ac:dyDescent="0.25"/>
  <cols>
    <col min="1" max="1" width="7.109375" customWidth="1"/>
    <col min="2" max="2" width="25.6640625" customWidth="1"/>
    <col min="3" max="3" width="11" customWidth="1"/>
    <col min="4" max="6" width="11" style="18" customWidth="1"/>
    <col min="7" max="8" width="11" customWidth="1"/>
    <col min="9" max="9" width="91.77734375" style="19" customWidth="1"/>
  </cols>
  <sheetData>
    <row r="1" spans="1:9" s="19" customFormat="1" ht="26.4" x14ac:dyDescent="0.25">
      <c r="A1" s="31" t="s">
        <v>241</v>
      </c>
      <c r="B1" s="20"/>
      <c r="C1" s="21" t="s">
        <v>559</v>
      </c>
      <c r="D1" s="22" t="s">
        <v>560</v>
      </c>
      <c r="E1" s="22" t="s">
        <v>1735</v>
      </c>
      <c r="F1" s="22" t="s">
        <v>568</v>
      </c>
      <c r="G1" s="21" t="s">
        <v>569</v>
      </c>
      <c r="H1" s="20" t="s">
        <v>1736</v>
      </c>
      <c r="I1" s="30" t="s">
        <v>2</v>
      </c>
    </row>
    <row r="2" spans="1:9" s="19" customFormat="1" x14ac:dyDescent="0.25">
      <c r="A2" s="20"/>
      <c r="B2" s="20" t="s">
        <v>240</v>
      </c>
      <c r="C2" s="21">
        <f>SUM(C3:C28)</f>
        <v>1574</v>
      </c>
      <c r="D2" s="22">
        <f>SUM(D3:D28)</f>
        <v>1628.9827777777778</v>
      </c>
      <c r="E2" s="68">
        <f>C2/D2</f>
        <v>0.96624717060987964</v>
      </c>
      <c r="F2" s="22">
        <f>SUM(F3:F267)</f>
        <v>8160.38</v>
      </c>
      <c r="G2" s="21">
        <f>SUM(G3:G28)</f>
        <v>230</v>
      </c>
      <c r="H2" s="69">
        <f>F2/G2</f>
        <v>35.479913043478263</v>
      </c>
      <c r="I2" s="70">
        <f>D2/15</f>
        <v>108.59885185185185</v>
      </c>
    </row>
    <row r="3" spans="1:9" x14ac:dyDescent="0.25">
      <c r="A3" s="23" t="s">
        <v>558</v>
      </c>
      <c r="B3" s="23" t="s">
        <v>566</v>
      </c>
      <c r="C3" s="23">
        <f>SUM('Vols 96 au 01_06_2000'!A2:A74)</f>
        <v>67</v>
      </c>
      <c r="D3" s="24">
        <f>SUM('Vols 96 au 01_06_2000'!N2:N74)/60</f>
        <v>18.241666666666667</v>
      </c>
      <c r="E3" s="24"/>
      <c r="F3" s="24"/>
      <c r="G3" s="23"/>
      <c r="H3" s="23"/>
    </row>
    <row r="4" spans="1:9" x14ac:dyDescent="0.25">
      <c r="A4" s="23">
        <v>99</v>
      </c>
      <c r="B4" s="23" t="s">
        <v>562</v>
      </c>
      <c r="C4" s="23">
        <f>SUM('Vols 96 au 01_06_2000'!A75:A174)</f>
        <v>90</v>
      </c>
      <c r="D4" s="24">
        <f>SUM('Vols 96 au 01_06_2000'!N60:N174)/60</f>
        <v>49.25</v>
      </c>
      <c r="E4" s="25">
        <f t="shared" ref="E4:E9" si="0">D4/C4</f>
        <v>0.54722222222222228</v>
      </c>
      <c r="F4" s="24">
        <f>SUM('Vols 96 au 01_06_2000'!P71:P174)</f>
        <v>68</v>
      </c>
      <c r="G4" s="23"/>
      <c r="H4" s="23"/>
    </row>
    <row r="5" spans="1:9" x14ac:dyDescent="0.25">
      <c r="A5" s="23">
        <v>2000</v>
      </c>
      <c r="B5" s="23" t="s">
        <v>565</v>
      </c>
      <c r="C5" s="23">
        <f>SUM('Vols 96 au 01_06_2000'!A175:A224)+SUM('2000'!A2:A57)</f>
        <v>106</v>
      </c>
      <c r="D5" s="24">
        <f>(SUM('2000'!K:K)+SUM('Vols 96 au 01_06_2000'!N175:N224))/60</f>
        <v>77.349999999999994</v>
      </c>
      <c r="E5" s="25">
        <f t="shared" si="0"/>
        <v>0.72971698113207539</v>
      </c>
      <c r="F5" s="24">
        <f>SUM('2000'!M:M)+SUM('Vols 96 au 01_06_2000'!P175:P224)</f>
        <v>349.58000000000004</v>
      </c>
      <c r="G5" s="23">
        <f>COUNTA('2000'!M:M)-1</f>
        <v>12</v>
      </c>
      <c r="H5" s="24">
        <f t="shared" ref="H5:H13" si="1">F5/G5</f>
        <v>29.131666666666671</v>
      </c>
    </row>
    <row r="6" spans="1:9" x14ac:dyDescent="0.25">
      <c r="A6" s="23">
        <v>2001</v>
      </c>
      <c r="B6" s="23" t="s">
        <v>563</v>
      </c>
      <c r="C6" s="23">
        <f>SUM('2001'!A:A)</f>
        <v>95</v>
      </c>
      <c r="D6" s="24">
        <f>SUM('2001'!K:K)/60</f>
        <v>66.150000000000006</v>
      </c>
      <c r="E6" s="25">
        <f t="shared" si="0"/>
        <v>0.69631578947368422</v>
      </c>
      <c r="F6" s="24">
        <f>SUM('2001'!M:M)</f>
        <v>223</v>
      </c>
      <c r="G6" s="23">
        <f>COUNTA('2001'!M:M)-1</f>
        <v>11</v>
      </c>
      <c r="H6" s="24">
        <f t="shared" si="1"/>
        <v>20.272727272727273</v>
      </c>
    </row>
    <row r="7" spans="1:9" x14ac:dyDescent="0.25">
      <c r="A7" s="23">
        <v>2002</v>
      </c>
      <c r="B7" s="23" t="s">
        <v>564</v>
      </c>
      <c r="C7" s="23">
        <f>SUM('2002'!A:A)</f>
        <v>47</v>
      </c>
      <c r="D7" s="24">
        <f>SUM('2002'!K:K)/60</f>
        <v>36.25</v>
      </c>
      <c r="E7" s="25">
        <f t="shared" si="0"/>
        <v>0.77127659574468088</v>
      </c>
      <c r="F7" s="24">
        <f>SUM('2002'!L:L)</f>
        <v>188</v>
      </c>
      <c r="G7" s="23">
        <f>COUNTA('2002'!L:L)-1</f>
        <v>9</v>
      </c>
      <c r="H7" s="24">
        <f t="shared" si="1"/>
        <v>20.888888888888889</v>
      </c>
    </row>
    <row r="8" spans="1:9" x14ac:dyDescent="0.25">
      <c r="A8" s="23">
        <v>2003</v>
      </c>
      <c r="B8" s="23" t="s">
        <v>561</v>
      </c>
      <c r="C8" s="23">
        <f>SUM('2003'!A:A)</f>
        <v>48</v>
      </c>
      <c r="D8" s="24">
        <f>SUM('2003'!K:K)/60</f>
        <v>37.799999999999997</v>
      </c>
      <c r="E8" s="25">
        <f t="shared" si="0"/>
        <v>0.78749999999999998</v>
      </c>
      <c r="F8" s="24">
        <f>SUM('2003'!L:L)</f>
        <v>282.5</v>
      </c>
      <c r="G8" s="23">
        <f>COUNTA('2003'!L:L)-1</f>
        <v>9</v>
      </c>
      <c r="H8" s="24">
        <f t="shared" si="1"/>
        <v>31.388888888888889</v>
      </c>
    </row>
    <row r="9" spans="1:9" x14ac:dyDescent="0.25">
      <c r="A9" s="23">
        <v>2004</v>
      </c>
      <c r="B9" s="23" t="s">
        <v>567</v>
      </c>
      <c r="C9" s="23">
        <f>SUM('2004'!A:A)</f>
        <v>38</v>
      </c>
      <c r="D9" s="24">
        <f>SUM('2004'!K:K)/60</f>
        <v>34.68333333333333</v>
      </c>
      <c r="E9" s="25">
        <f t="shared" si="0"/>
        <v>0.91271929824561393</v>
      </c>
      <c r="F9" s="24">
        <f>SUM('2004'!L:L)</f>
        <v>217</v>
      </c>
      <c r="G9" s="23">
        <f>COUNTA('2004'!L:L)-1</f>
        <v>7</v>
      </c>
      <c r="H9" s="24">
        <f t="shared" si="1"/>
        <v>31</v>
      </c>
    </row>
    <row r="10" spans="1:9" x14ac:dyDescent="0.25">
      <c r="A10" s="23">
        <v>2005</v>
      </c>
      <c r="B10" s="23" t="s">
        <v>571</v>
      </c>
      <c r="C10" s="23">
        <f>SUM('2005'!A:A)</f>
        <v>45</v>
      </c>
      <c r="D10" s="24">
        <f>SUM('2005'!K:K)/60</f>
        <v>32.81666666666667</v>
      </c>
      <c r="E10" s="25">
        <f>D10/C10</f>
        <v>0.72925925925925938</v>
      </c>
      <c r="F10" s="24">
        <f>SUM('2005'!L:L)</f>
        <v>209</v>
      </c>
      <c r="G10" s="23">
        <f>COUNTA('2005'!L:L)-1</f>
        <v>5</v>
      </c>
      <c r="H10" s="24">
        <f t="shared" si="1"/>
        <v>41.8</v>
      </c>
    </row>
    <row r="11" spans="1:9" x14ac:dyDescent="0.25">
      <c r="A11" s="36">
        <v>2006</v>
      </c>
      <c r="B11" s="36" t="s">
        <v>441</v>
      </c>
      <c r="C11" s="23">
        <f>SUM('2006'!A:A)</f>
        <v>34</v>
      </c>
      <c r="D11" s="24">
        <f>SUM('2006'!K:K)/60</f>
        <v>32.32</v>
      </c>
      <c r="E11" s="25">
        <f>D11/C11</f>
        <v>0.95058823529411762</v>
      </c>
      <c r="F11" s="24">
        <f>SUM('2006'!L:L)</f>
        <v>104</v>
      </c>
      <c r="G11" s="23">
        <f>COUNTA('2006'!L:L)-1</f>
        <v>3</v>
      </c>
      <c r="H11" s="24">
        <f t="shared" si="1"/>
        <v>34.666666666666664</v>
      </c>
    </row>
    <row r="12" spans="1:9" x14ac:dyDescent="0.25">
      <c r="A12" s="36">
        <v>2007</v>
      </c>
      <c r="B12" s="36" t="s">
        <v>417</v>
      </c>
      <c r="C12" s="23">
        <f>SUM('2007'!A:A)</f>
        <v>28</v>
      </c>
      <c r="D12" s="24">
        <f>SUM('2007'!K:K)/60</f>
        <v>25.179444444444446</v>
      </c>
      <c r="E12" s="25">
        <f>D12/C12</f>
        <v>0.89926587301587302</v>
      </c>
      <c r="F12" s="24">
        <f>SUM('2007'!L:L)</f>
        <v>139.5</v>
      </c>
      <c r="G12" s="23">
        <f>COUNTA('2007'!L:L)-1</f>
        <v>8</v>
      </c>
      <c r="H12" s="24">
        <f t="shared" si="1"/>
        <v>17.4375</v>
      </c>
    </row>
    <row r="13" spans="1:9" x14ac:dyDescent="0.25">
      <c r="A13" s="36">
        <v>2008</v>
      </c>
      <c r="B13" s="36" t="s">
        <v>417</v>
      </c>
      <c r="C13" s="23">
        <f>SUM('2008'!A:A)</f>
        <v>23</v>
      </c>
      <c r="D13" s="24">
        <f>SUM('2008'!K:K)/60</f>
        <v>26.433333333333334</v>
      </c>
      <c r="E13" s="25">
        <f>D13/C13</f>
        <v>1.1492753623188405</v>
      </c>
      <c r="F13" s="24">
        <f>SUM('2008'!L:L)</f>
        <v>129.5</v>
      </c>
      <c r="G13" s="23">
        <f>COUNTA('2008'!L:L)-1</f>
        <v>5</v>
      </c>
      <c r="H13" s="24">
        <f t="shared" si="1"/>
        <v>25.9</v>
      </c>
    </row>
    <row r="14" spans="1:9" x14ac:dyDescent="0.25">
      <c r="A14" s="36">
        <v>2009</v>
      </c>
      <c r="B14" s="37" t="s">
        <v>417</v>
      </c>
      <c r="C14" s="23">
        <f>SUM('2009'!A:A)</f>
        <v>15</v>
      </c>
      <c r="D14" s="24">
        <f>'2009'!K18</f>
        <v>24.05</v>
      </c>
      <c r="E14" s="25">
        <f>D14/C14</f>
        <v>1.6033333333333333</v>
      </c>
      <c r="F14" s="24">
        <f>SUM('2009'!L:L)</f>
        <v>22.9</v>
      </c>
      <c r="G14" s="23">
        <f>COUNTA('2009'!L:L)-1</f>
        <v>1</v>
      </c>
      <c r="H14" s="24">
        <f>F14/G14</f>
        <v>22.9</v>
      </c>
    </row>
    <row r="15" spans="1:9" x14ac:dyDescent="0.25">
      <c r="A15" s="36">
        <v>2010</v>
      </c>
      <c r="B15" s="37" t="s">
        <v>417</v>
      </c>
      <c r="C15" s="47">
        <v>1</v>
      </c>
      <c r="D15" s="51">
        <v>2</v>
      </c>
      <c r="E15" s="49"/>
      <c r="F15" s="48"/>
      <c r="G15" s="47"/>
      <c r="H15" s="50"/>
    </row>
    <row r="16" spans="1:9" ht="64.5" customHeight="1" x14ac:dyDescent="0.25">
      <c r="A16" s="286" t="str">
        <f>'2015'!A2</f>
        <v>5 ans sont passés, j'ai fait 3 saisons de planeurs, mais trop d'éléments me repoussent du VV. Je décide de ré essayer le parapente, à Arbas avec Surfair (Thierry et Richard), retour en pente école, nouveau premier grand vol, je n'ai pas perdu le fond, comme en vélo parait il, on oublie pas les fondamentaux... de là à dire que je vais vraiment m'y remettre .... Inch'Allah.</v>
      </c>
      <c r="B16" s="287"/>
      <c r="C16" s="287"/>
      <c r="D16" s="287"/>
      <c r="E16" s="287"/>
      <c r="F16" s="287"/>
      <c r="G16" s="287"/>
      <c r="H16" s="288"/>
    </row>
    <row r="17" spans="1:9" ht="26.4" x14ac:dyDescent="0.25">
      <c r="A17" s="31" t="s">
        <v>241</v>
      </c>
      <c r="B17" s="20"/>
      <c r="C17" s="21" t="s">
        <v>559</v>
      </c>
      <c r="D17" s="22" t="s">
        <v>560</v>
      </c>
      <c r="E17" s="22" t="s">
        <v>1735</v>
      </c>
      <c r="F17" s="22" t="s">
        <v>568</v>
      </c>
      <c r="G17" s="21" t="s">
        <v>569</v>
      </c>
      <c r="H17" s="20" t="s">
        <v>1736</v>
      </c>
    </row>
    <row r="18" spans="1:9" x14ac:dyDescent="0.25">
      <c r="A18" s="36">
        <v>2015</v>
      </c>
      <c r="B18" s="37" t="s">
        <v>209</v>
      </c>
      <c r="C18" s="23">
        <v>20</v>
      </c>
      <c r="D18" s="24">
        <v>15.5</v>
      </c>
      <c r="E18" s="25">
        <f t="shared" ref="E18:E23" si="2">D18/C18</f>
        <v>0.77500000000000002</v>
      </c>
      <c r="F18" s="24"/>
      <c r="G18" s="23"/>
      <c r="H18" s="23"/>
      <c r="I18" s="27" t="s">
        <v>244</v>
      </c>
    </row>
    <row r="19" spans="1:9" ht="66" x14ac:dyDescent="0.25">
      <c r="A19" s="36">
        <v>2016</v>
      </c>
      <c r="B19" s="37" t="s">
        <v>157</v>
      </c>
      <c r="C19" s="23">
        <f>SUM('2016'!A:A)</f>
        <v>58</v>
      </c>
      <c r="D19" s="24">
        <f>SUM('2016'!N:N)/60</f>
        <v>59.266666666666666</v>
      </c>
      <c r="E19" s="25">
        <f t="shared" si="2"/>
        <v>1.0218390804597701</v>
      </c>
      <c r="F19" s="24">
        <f>SUM('2016'!P:P)</f>
        <v>176</v>
      </c>
      <c r="G19" s="23">
        <f>COUNTA('2016'!P:P)-1</f>
        <v>7</v>
      </c>
      <c r="H19" s="24">
        <f t="shared" ref="H19:H24" si="3">F19/G19</f>
        <v>25.142857142857142</v>
      </c>
      <c r="I19" s="27" t="s">
        <v>245</v>
      </c>
    </row>
    <row r="20" spans="1:9" x14ac:dyDescent="0.25">
      <c r="A20" s="36">
        <v>2017</v>
      </c>
      <c r="B20" s="37" t="s">
        <v>1823</v>
      </c>
      <c r="C20" s="23">
        <f>SUM('2017'!A:A)</f>
        <v>87</v>
      </c>
      <c r="D20" s="24">
        <f>SUM('2017'!L:L)/60</f>
        <v>100.6</v>
      </c>
      <c r="E20" s="25">
        <f t="shared" si="2"/>
        <v>1.1563218390804597</v>
      </c>
      <c r="F20" s="24">
        <f>SUM('2017'!N:N)</f>
        <v>255</v>
      </c>
      <c r="G20" s="23">
        <f>COUNTA('2017'!N:N)-1</f>
        <v>10</v>
      </c>
      <c r="H20" s="24">
        <f t="shared" si="3"/>
        <v>25.5</v>
      </c>
    </row>
    <row r="21" spans="1:9" x14ac:dyDescent="0.25">
      <c r="A21" s="36">
        <v>2018</v>
      </c>
      <c r="B21" s="37" t="s">
        <v>1904</v>
      </c>
      <c r="C21" s="23">
        <f>SUM('2018'!A:A)</f>
        <v>140</v>
      </c>
      <c r="D21" s="24">
        <f>SUM('2018'!N:N)/60</f>
        <v>129.06666666666666</v>
      </c>
      <c r="E21" s="25">
        <f t="shared" si="2"/>
        <v>0.92190476190476189</v>
      </c>
      <c r="F21" s="24">
        <f>SUM('2018'!P:P)</f>
        <v>517</v>
      </c>
      <c r="G21" s="23">
        <f>COUNTA('2018'!P:P)-1</f>
        <v>14</v>
      </c>
      <c r="H21" s="24">
        <f t="shared" si="3"/>
        <v>36.928571428571431</v>
      </c>
      <c r="I21" s="19" t="s">
        <v>2188</v>
      </c>
    </row>
    <row r="22" spans="1:9" x14ac:dyDescent="0.25">
      <c r="A22" s="36">
        <v>2019</v>
      </c>
      <c r="B22" s="37" t="s">
        <v>1904</v>
      </c>
      <c r="C22" s="23">
        <f>SUM('2019'!A:A)</f>
        <v>77</v>
      </c>
      <c r="D22" s="24">
        <f>SUM('2019'!N:N)/60</f>
        <v>85.066666666666663</v>
      </c>
      <c r="E22" s="25">
        <f t="shared" si="2"/>
        <v>1.1047619047619046</v>
      </c>
      <c r="F22" s="24">
        <f>SUM('2019'!P:P)</f>
        <v>451</v>
      </c>
      <c r="G22" s="23">
        <f>COUNTA('2019'!P:P)-1</f>
        <v>10</v>
      </c>
      <c r="H22" s="24">
        <f t="shared" si="3"/>
        <v>45.1</v>
      </c>
      <c r="I22" s="19" t="s">
        <v>2106</v>
      </c>
    </row>
    <row r="23" spans="1:9" x14ac:dyDescent="0.25">
      <c r="A23" s="36">
        <v>2020</v>
      </c>
      <c r="B23" s="37" t="s">
        <v>1904</v>
      </c>
      <c r="C23" s="23">
        <f>SUM('2020'!A:A)</f>
        <v>52</v>
      </c>
      <c r="D23" s="24">
        <f>SUM('2020'!N:N)/60</f>
        <v>82.716666666666669</v>
      </c>
      <c r="E23" s="25">
        <f t="shared" si="2"/>
        <v>1.5907051282051283</v>
      </c>
      <c r="F23" s="24">
        <f>SUM('2020'!P:P)</f>
        <v>138</v>
      </c>
      <c r="G23" s="23">
        <f>COUNTA('2020'!P:P)-1</f>
        <v>4</v>
      </c>
      <c r="H23" s="24">
        <f t="shared" si="3"/>
        <v>34.5</v>
      </c>
      <c r="I23" s="19" t="s">
        <v>2239</v>
      </c>
    </row>
    <row r="24" spans="1:9" ht="39.6" x14ac:dyDescent="0.25">
      <c r="A24" s="36">
        <v>2021</v>
      </c>
      <c r="B24" s="37" t="s">
        <v>1904</v>
      </c>
      <c r="C24" s="23">
        <f>SUM('2021'!A:A)</f>
        <v>54</v>
      </c>
      <c r="D24" s="24">
        <f>SUM('2021'!N:N)/60</f>
        <v>55.483333333333334</v>
      </c>
      <c r="E24" s="25">
        <f>D24/C24</f>
        <v>1.0274691358024692</v>
      </c>
      <c r="F24" s="24">
        <f>SUM('2021'!P:P)</f>
        <v>78</v>
      </c>
      <c r="G24" s="23">
        <f>COUNTA('2021'!P:P)-1</f>
        <v>3</v>
      </c>
      <c r="H24" s="24">
        <f t="shared" si="3"/>
        <v>26</v>
      </c>
      <c r="I24" s="19" t="s">
        <v>2240</v>
      </c>
    </row>
    <row r="25" spans="1:9" ht="26.4" x14ac:dyDescent="0.25">
      <c r="A25" s="279">
        <v>2022</v>
      </c>
      <c r="B25" s="280" t="s">
        <v>1904</v>
      </c>
      <c r="C25" s="23">
        <f>SUM('2022'!A:A)</f>
        <v>55</v>
      </c>
      <c r="D25" s="24">
        <f>SUM('2022'!N:N)/60</f>
        <v>58.666666666666664</v>
      </c>
      <c r="E25" s="25">
        <f>D25/C25</f>
        <v>1.0666666666666667</v>
      </c>
      <c r="F25" s="24">
        <f>SUM('2022'!P:P)</f>
        <v>181</v>
      </c>
      <c r="G25" s="23">
        <f>COUNTA('2022'!P:P)-1</f>
        <v>8</v>
      </c>
      <c r="H25" s="24">
        <f>F25/G25</f>
        <v>22.625</v>
      </c>
      <c r="I25" s="19" t="s">
        <v>2327</v>
      </c>
    </row>
    <row r="26" spans="1:9" ht="52.8" x14ac:dyDescent="0.25">
      <c r="A26" s="279">
        <v>2023</v>
      </c>
      <c r="B26" s="280" t="s">
        <v>2289</v>
      </c>
      <c r="C26" s="23">
        <f>SUM('2023'!A:A)</f>
        <v>120</v>
      </c>
      <c r="D26" s="24">
        <f>SUM('2023'!N:N)/60</f>
        <v>153.83333333333334</v>
      </c>
      <c r="E26" s="25">
        <f>D26/C26</f>
        <v>1.2819444444444446</v>
      </c>
      <c r="F26" s="24">
        <f>SUM('2023'!P:P)</f>
        <v>801.4</v>
      </c>
      <c r="G26" s="23">
        <f>COUNTA('2023'!P:P)-1</f>
        <v>24</v>
      </c>
      <c r="H26" s="24">
        <f>F26/G26</f>
        <v>33.391666666666666</v>
      </c>
      <c r="I26" s="19" t="s">
        <v>2441</v>
      </c>
    </row>
    <row r="27" spans="1:9" ht="26.4" x14ac:dyDescent="0.25">
      <c r="A27" s="279">
        <v>2024</v>
      </c>
      <c r="B27" s="280" t="s">
        <v>2485</v>
      </c>
      <c r="C27" s="23">
        <f>SUM('2024'!A:A)</f>
        <v>137</v>
      </c>
      <c r="D27" s="24">
        <f>SUM('2024'!N:N)/60</f>
        <v>162.70833333333334</v>
      </c>
      <c r="E27" s="25">
        <f>D27/C27</f>
        <v>1.1876520681265208</v>
      </c>
      <c r="F27" s="24">
        <f>SUM('2024'!P:P)</f>
        <v>699</v>
      </c>
      <c r="G27" s="23">
        <f>COUNTA('2024'!P:P)-1</f>
        <v>18</v>
      </c>
      <c r="H27" s="24">
        <f>F27/G27</f>
        <v>38.833333333333336</v>
      </c>
      <c r="I27" s="19" t="s">
        <v>2625</v>
      </c>
    </row>
    <row r="28" spans="1:9" x14ac:dyDescent="0.25">
      <c r="A28" s="279">
        <v>2025</v>
      </c>
      <c r="B28" s="280" t="s">
        <v>2550</v>
      </c>
      <c r="C28" s="23">
        <f>SUM('2025'!A:A)</f>
        <v>137</v>
      </c>
      <c r="D28" s="24">
        <f>SUM('2025'!N:N)/60</f>
        <v>263.55</v>
      </c>
      <c r="E28" s="25">
        <f>D28/C28</f>
        <v>1.9237226277372264</v>
      </c>
      <c r="F28" s="24">
        <f>SUM('2025'!P:P)</f>
        <v>2931</v>
      </c>
      <c r="G28" s="23">
        <f>COUNTA('2025'!P:P)-1</f>
        <v>62</v>
      </c>
      <c r="H28" s="24">
        <f>F28/G28</f>
        <v>47.274193548387096</v>
      </c>
    </row>
    <row r="29" spans="1:9" x14ac:dyDescent="0.25">
      <c r="A29" s="279">
        <v>2026</v>
      </c>
      <c r="B29" s="280" t="s">
        <v>2550</v>
      </c>
    </row>
  </sheetData>
  <mergeCells count="1">
    <mergeCell ref="A16:H16"/>
  </mergeCells>
  <phoneticPr fontId="0"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tabSelected="1" zoomScaleNormal="100" workbookViewId="0">
      <pane ySplit="1" topLeftCell="A2" activePane="bottomLeft" state="frozen"/>
      <selection activeCell="B1" sqref="B1"/>
      <selection pane="bottomLeft" activeCell="N12" sqref="N12"/>
    </sheetView>
  </sheetViews>
  <sheetFormatPr baseColWidth="10" defaultRowHeight="13.2" x14ac:dyDescent="0.25"/>
  <cols>
    <col min="3" max="3" width="11.5546875" style="250"/>
    <col min="8" max="8" width="11.5546875" style="41"/>
    <col min="12" max="12" width="11.5546875" style="41"/>
    <col min="13" max="13" width="11.5546875" style="59"/>
    <col min="16" max="16" width="11.5546875" style="41"/>
    <col min="17" max="17" width="70.5546875" style="43" customWidth="1"/>
  </cols>
  <sheetData>
    <row r="1" spans="1:17" x14ac:dyDescent="0.25">
      <c r="A1" s="244" t="s">
        <v>1178</v>
      </c>
      <c r="B1" s="244" t="s">
        <v>1164</v>
      </c>
      <c r="C1" s="249" t="s">
        <v>1165</v>
      </c>
      <c r="D1" s="244" t="s">
        <v>1166</v>
      </c>
      <c r="E1" s="244" t="s">
        <v>1167</v>
      </c>
      <c r="F1" s="244" t="s">
        <v>530</v>
      </c>
      <c r="G1" s="244" t="s">
        <v>1989</v>
      </c>
      <c r="H1" s="41" t="s">
        <v>1180</v>
      </c>
      <c r="I1" s="244" t="s">
        <v>531</v>
      </c>
      <c r="J1" s="244" t="s">
        <v>1829</v>
      </c>
      <c r="K1" s="244" t="s">
        <v>1177</v>
      </c>
      <c r="L1" s="41" t="s">
        <v>1173</v>
      </c>
      <c r="M1" s="246" t="s">
        <v>411</v>
      </c>
      <c r="N1" s="244" t="s">
        <v>1175</v>
      </c>
      <c r="O1" s="247" t="s">
        <v>321</v>
      </c>
      <c r="P1" s="244" t="s">
        <v>1179</v>
      </c>
      <c r="Q1" s="251" t="s">
        <v>2116</v>
      </c>
    </row>
    <row r="2" spans="1:17" x14ac:dyDescent="0.25">
      <c r="A2" s="41">
        <v>29</v>
      </c>
      <c r="B2" s="41">
        <f>1562+29</f>
        <v>1591</v>
      </c>
      <c r="C2" s="250" t="s">
        <v>2666</v>
      </c>
      <c r="D2" s="41" t="s">
        <v>2479</v>
      </c>
      <c r="E2" s="41" t="s">
        <v>2046</v>
      </c>
      <c r="F2" s="41"/>
      <c r="G2" s="41"/>
      <c r="I2" s="41"/>
      <c r="J2" s="41"/>
      <c r="N2" s="41">
        <f>(94*60)+50</f>
        <v>5690</v>
      </c>
      <c r="O2" s="76">
        <f>N2/60</f>
        <v>94.833333333333329</v>
      </c>
      <c r="P2" s="41">
        <v>1650</v>
      </c>
    </row>
    <row r="3" spans="1:17" x14ac:dyDescent="0.25">
      <c r="A3" s="41">
        <v>1</v>
      </c>
      <c r="B3" s="41">
        <v>1592</v>
      </c>
      <c r="C3" s="250">
        <v>46090</v>
      </c>
      <c r="D3" s="41" t="s">
        <v>2479</v>
      </c>
      <c r="E3" s="41" t="s">
        <v>532</v>
      </c>
      <c r="F3" s="41" t="s">
        <v>2050</v>
      </c>
      <c r="G3" s="41"/>
      <c r="I3" s="41" t="s">
        <v>1650</v>
      </c>
      <c r="J3" s="41" t="s">
        <v>1877</v>
      </c>
      <c r="N3" s="41">
        <v>99</v>
      </c>
      <c r="O3" s="76">
        <f>O2+N3/60</f>
        <v>96.483333333333334</v>
      </c>
    </row>
    <row r="4" spans="1:17" x14ac:dyDescent="0.25">
      <c r="A4" s="41">
        <v>1</v>
      </c>
      <c r="B4" s="41">
        <v>1593</v>
      </c>
      <c r="C4" s="250">
        <v>46094</v>
      </c>
      <c r="D4" s="41" t="s">
        <v>2479</v>
      </c>
      <c r="E4" s="41" t="s">
        <v>532</v>
      </c>
      <c r="F4" s="41" t="s">
        <v>2050</v>
      </c>
      <c r="G4" s="41"/>
      <c r="I4" s="41" t="s">
        <v>2443</v>
      </c>
      <c r="J4" s="41" t="s">
        <v>1182</v>
      </c>
      <c r="N4" s="41">
        <v>135</v>
      </c>
      <c r="O4" s="76">
        <f>O3+N4/60</f>
        <v>98.733333333333334</v>
      </c>
      <c r="P4" s="41">
        <v>30</v>
      </c>
    </row>
    <row r="5" spans="1:17" x14ac:dyDescent="0.25">
      <c r="A5" s="41">
        <v>1</v>
      </c>
      <c r="B5" s="41">
        <v>1594</v>
      </c>
      <c r="C5" s="250">
        <v>46097</v>
      </c>
      <c r="D5" s="41" t="s">
        <v>2479</v>
      </c>
      <c r="E5" s="41" t="s">
        <v>532</v>
      </c>
      <c r="F5" s="41" t="s">
        <v>2050</v>
      </c>
      <c r="G5" s="41"/>
      <c r="I5" s="41" t="s">
        <v>1650</v>
      </c>
      <c r="J5" s="41" t="s">
        <v>1877</v>
      </c>
      <c r="N5" s="41">
        <v>100</v>
      </c>
      <c r="O5" s="76">
        <f>O4+N5/60</f>
        <v>100.4</v>
      </c>
    </row>
    <row r="6" spans="1:17" x14ac:dyDescent="0.25">
      <c r="A6" s="41">
        <v>1</v>
      </c>
      <c r="B6" s="41">
        <v>1595</v>
      </c>
      <c r="C6" s="250">
        <v>46098</v>
      </c>
      <c r="D6" s="41" t="s">
        <v>2479</v>
      </c>
      <c r="E6" s="41" t="s">
        <v>532</v>
      </c>
      <c r="F6" s="41" t="s">
        <v>2050</v>
      </c>
      <c r="G6" s="41"/>
      <c r="I6" s="41" t="s">
        <v>1650</v>
      </c>
      <c r="J6" s="41" t="s">
        <v>1877</v>
      </c>
      <c r="N6" s="41">
        <v>99</v>
      </c>
      <c r="O6" s="76">
        <f>O5+N6/60</f>
        <v>102.05000000000001</v>
      </c>
    </row>
    <row r="7" spans="1:17" x14ac:dyDescent="0.25">
      <c r="A7" s="41">
        <v>1</v>
      </c>
      <c r="B7" s="41">
        <v>1596</v>
      </c>
      <c r="C7" s="250">
        <v>46101</v>
      </c>
      <c r="D7" s="41" t="s">
        <v>2668</v>
      </c>
      <c r="E7" s="41" t="s">
        <v>532</v>
      </c>
      <c r="F7" s="41" t="s">
        <v>2050</v>
      </c>
      <c r="G7" s="41"/>
      <c r="I7" s="41" t="s">
        <v>1650</v>
      </c>
      <c r="J7" s="41" t="s">
        <v>1877</v>
      </c>
      <c r="N7" s="41">
        <v>30</v>
      </c>
      <c r="O7" s="76">
        <f>O6+N7/60</f>
        <v>102.55000000000001</v>
      </c>
    </row>
    <row r="8" spans="1:17" x14ac:dyDescent="0.25">
      <c r="A8" s="41">
        <v>1</v>
      </c>
      <c r="B8" s="41">
        <v>1597</v>
      </c>
      <c r="C8" s="250">
        <v>46101</v>
      </c>
      <c r="D8" s="41" t="s">
        <v>2668</v>
      </c>
      <c r="E8" s="41" t="s">
        <v>532</v>
      </c>
      <c r="F8" s="41" t="s">
        <v>2050</v>
      </c>
      <c r="G8" s="41"/>
      <c r="I8" s="41" t="s">
        <v>2350</v>
      </c>
      <c r="J8" s="41" t="s">
        <v>1877</v>
      </c>
      <c r="N8" s="41">
        <v>82</v>
      </c>
      <c r="O8" s="76">
        <f t="shared" ref="O8:O12" si="0">O7+N8/60</f>
        <v>103.91666666666667</v>
      </c>
    </row>
    <row r="9" spans="1:17" x14ac:dyDescent="0.25">
      <c r="A9" s="41">
        <v>1</v>
      </c>
      <c r="B9" s="41">
        <v>1598</v>
      </c>
      <c r="C9" s="250">
        <v>46102</v>
      </c>
      <c r="D9" s="41" t="s">
        <v>2668</v>
      </c>
      <c r="E9" s="41" t="s">
        <v>532</v>
      </c>
      <c r="F9" s="41" t="s">
        <v>2050</v>
      </c>
      <c r="G9" s="41"/>
      <c r="I9" s="41" t="s">
        <v>1650</v>
      </c>
      <c r="J9" s="41" t="s">
        <v>1182</v>
      </c>
      <c r="N9" s="41">
        <v>240</v>
      </c>
      <c r="O9" s="76">
        <f t="shared" si="0"/>
        <v>107.91666666666667</v>
      </c>
      <c r="P9" s="41">
        <v>50</v>
      </c>
    </row>
    <row r="10" spans="1:17" x14ac:dyDescent="0.25">
      <c r="A10" s="41">
        <v>1</v>
      </c>
      <c r="B10" s="41">
        <v>1599</v>
      </c>
      <c r="C10" s="250">
        <v>46104</v>
      </c>
      <c r="D10" s="41" t="s">
        <v>2479</v>
      </c>
      <c r="E10" s="41" t="s">
        <v>532</v>
      </c>
      <c r="F10" s="41" t="s">
        <v>2050</v>
      </c>
      <c r="G10" s="41"/>
      <c r="I10" s="41" t="s">
        <v>2452</v>
      </c>
      <c r="J10" s="41" t="s">
        <v>1182</v>
      </c>
      <c r="N10" s="41">
        <v>100</v>
      </c>
      <c r="O10" s="76">
        <f t="shared" si="0"/>
        <v>109.58333333333334</v>
      </c>
      <c r="P10" s="41">
        <v>36</v>
      </c>
    </row>
    <row r="11" spans="1:17" x14ac:dyDescent="0.25">
      <c r="A11" s="41">
        <v>1</v>
      </c>
      <c r="B11" s="41">
        <v>1600</v>
      </c>
      <c r="C11" s="250">
        <v>46105</v>
      </c>
      <c r="D11" s="41" t="s">
        <v>2479</v>
      </c>
      <c r="E11" s="41" t="s">
        <v>532</v>
      </c>
      <c r="F11" s="41" t="s">
        <v>2050</v>
      </c>
      <c r="I11" s="41" t="s">
        <v>1650</v>
      </c>
      <c r="J11" s="41" t="s">
        <v>1182</v>
      </c>
      <c r="N11" s="41">
        <v>188</v>
      </c>
      <c r="O11" s="76">
        <f t="shared" si="0"/>
        <v>112.71666666666668</v>
      </c>
      <c r="P11" s="41">
        <v>31</v>
      </c>
    </row>
    <row r="12" spans="1:17" x14ac:dyDescent="0.25">
      <c r="A12" s="41">
        <v>1</v>
      </c>
      <c r="B12" s="41">
        <v>1601</v>
      </c>
      <c r="O12" s="76">
        <f t="shared" si="0"/>
        <v>112.71666666666668</v>
      </c>
    </row>
  </sheetData>
  <autoFilter ref="A1:Q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36"/>
  <sheetViews>
    <sheetView zoomScaleNormal="100" workbookViewId="0">
      <pane ySplit="1" topLeftCell="A116" activePane="bottomLeft" state="frozen"/>
      <selection activeCell="B1" sqref="B1"/>
      <selection pane="bottomLeft" activeCell="N1" sqref="N1:N1048576"/>
    </sheetView>
  </sheetViews>
  <sheetFormatPr baseColWidth="10" defaultRowHeight="13.2" x14ac:dyDescent="0.25"/>
  <cols>
    <col min="3" max="3" width="11.5546875" style="250"/>
    <col min="8" max="8" width="11.5546875" style="41"/>
    <col min="12" max="12" width="11.5546875" style="41"/>
    <col min="13" max="13" width="11.5546875" style="59"/>
    <col min="16" max="16" width="11.5546875" style="41"/>
    <col min="17" max="17" width="70.5546875" style="43" customWidth="1"/>
  </cols>
  <sheetData>
    <row r="1" spans="1:17" x14ac:dyDescent="0.25">
      <c r="A1" s="244" t="s">
        <v>1178</v>
      </c>
      <c r="B1" s="244" t="s">
        <v>1164</v>
      </c>
      <c r="C1" s="249" t="s">
        <v>1165</v>
      </c>
      <c r="D1" s="244" t="s">
        <v>1166</v>
      </c>
      <c r="E1" s="244" t="s">
        <v>1167</v>
      </c>
      <c r="F1" s="244" t="s">
        <v>530</v>
      </c>
      <c r="G1" s="244" t="s">
        <v>1989</v>
      </c>
      <c r="H1" s="41" t="s">
        <v>1180</v>
      </c>
      <c r="I1" s="244" t="s">
        <v>531</v>
      </c>
      <c r="J1" s="244" t="s">
        <v>1829</v>
      </c>
      <c r="K1" s="244" t="s">
        <v>1177</v>
      </c>
      <c r="L1" s="41" t="s">
        <v>1173</v>
      </c>
      <c r="M1" s="246" t="s">
        <v>411</v>
      </c>
      <c r="N1" s="244" t="s">
        <v>1175</v>
      </c>
      <c r="O1" s="247" t="s">
        <v>321</v>
      </c>
      <c r="P1" s="244" t="s">
        <v>1179</v>
      </c>
      <c r="Q1" s="251" t="s">
        <v>2116</v>
      </c>
    </row>
    <row r="2" spans="1:17" x14ac:dyDescent="0.25">
      <c r="A2" s="41">
        <v>1</v>
      </c>
      <c r="B2" s="41">
        <v>1428</v>
      </c>
      <c r="C2" s="250">
        <v>45658</v>
      </c>
      <c r="D2" s="41" t="s">
        <v>2479</v>
      </c>
      <c r="E2" s="41" t="s">
        <v>532</v>
      </c>
      <c r="F2" s="41" t="s">
        <v>1836</v>
      </c>
      <c r="G2" s="41" t="s">
        <v>1830</v>
      </c>
      <c r="H2" s="41">
        <v>400</v>
      </c>
      <c r="I2" s="41" t="s">
        <v>1650</v>
      </c>
      <c r="J2" s="41" t="s">
        <v>1877</v>
      </c>
      <c r="K2" s="41" t="s">
        <v>2549</v>
      </c>
      <c r="L2" s="41">
        <v>3145</v>
      </c>
      <c r="M2" s="59">
        <v>0.54652777777777783</v>
      </c>
      <c r="N2" s="41">
        <v>85</v>
      </c>
      <c r="O2" s="76">
        <f>N2/60</f>
        <v>1.4166666666666667</v>
      </c>
      <c r="P2" s="41">
        <v>40</v>
      </c>
    </row>
    <row r="3" spans="1:17" x14ac:dyDescent="0.25">
      <c r="A3" s="41">
        <v>1</v>
      </c>
      <c r="B3" s="41">
        <v>1429</v>
      </c>
      <c r="C3" s="250">
        <v>45667</v>
      </c>
      <c r="D3" s="41" t="s">
        <v>2479</v>
      </c>
      <c r="E3" s="41" t="s">
        <v>2046</v>
      </c>
      <c r="F3" s="41" t="s">
        <v>2551</v>
      </c>
      <c r="G3" s="41"/>
      <c r="I3" s="41"/>
      <c r="J3" s="41" t="s">
        <v>1182</v>
      </c>
      <c r="K3" s="41"/>
      <c r="N3" s="41">
        <v>140</v>
      </c>
      <c r="O3" s="76">
        <f>O2+N3/60</f>
        <v>3.75</v>
      </c>
      <c r="P3" s="41">
        <v>27</v>
      </c>
    </row>
    <row r="4" spans="1:17" x14ac:dyDescent="0.25">
      <c r="A4" s="41">
        <v>1</v>
      </c>
      <c r="B4" s="41">
        <v>1430</v>
      </c>
      <c r="C4" s="250">
        <v>45668</v>
      </c>
      <c r="D4" s="41" t="s">
        <v>2479</v>
      </c>
      <c r="E4" s="41" t="s">
        <v>2046</v>
      </c>
      <c r="F4" s="41" t="s">
        <v>2551</v>
      </c>
      <c r="G4" s="41"/>
      <c r="I4" s="41"/>
      <c r="J4" s="41" t="s">
        <v>1877</v>
      </c>
      <c r="K4" s="41"/>
      <c r="N4" s="41">
        <v>104</v>
      </c>
      <c r="O4" s="76">
        <f t="shared" ref="O4:O67" si="0">O3+N4/60</f>
        <v>5.4833333333333334</v>
      </c>
    </row>
    <row r="5" spans="1:17" x14ac:dyDescent="0.25">
      <c r="A5" s="41">
        <v>1</v>
      </c>
      <c r="B5" s="41">
        <v>1431</v>
      </c>
      <c r="C5" s="250">
        <v>45669</v>
      </c>
      <c r="D5" s="41" t="s">
        <v>2479</v>
      </c>
      <c r="E5" s="41" t="s">
        <v>2046</v>
      </c>
      <c r="F5" s="41" t="s">
        <v>2551</v>
      </c>
      <c r="G5" s="41"/>
      <c r="I5" s="41"/>
      <c r="J5" s="41" t="s">
        <v>1182</v>
      </c>
      <c r="K5" s="41"/>
      <c r="N5" s="41">
        <v>45</v>
      </c>
      <c r="O5" s="76">
        <f t="shared" si="0"/>
        <v>6.2333333333333334</v>
      </c>
      <c r="P5" s="41">
        <v>56</v>
      </c>
    </row>
    <row r="6" spans="1:17" x14ac:dyDescent="0.25">
      <c r="A6" s="41">
        <v>1</v>
      </c>
      <c r="B6" s="41">
        <v>1432</v>
      </c>
      <c r="C6" s="250">
        <v>45670</v>
      </c>
      <c r="D6" s="41" t="s">
        <v>2479</v>
      </c>
      <c r="E6" s="41" t="s">
        <v>2046</v>
      </c>
      <c r="F6" s="41" t="s">
        <v>2551</v>
      </c>
      <c r="G6" s="41"/>
      <c r="I6" s="41"/>
      <c r="J6" s="41" t="s">
        <v>1182</v>
      </c>
      <c r="K6" s="41"/>
      <c r="N6" s="41">
        <v>198</v>
      </c>
      <c r="O6" s="76">
        <f t="shared" si="0"/>
        <v>9.5333333333333332</v>
      </c>
      <c r="P6" s="41">
        <v>43</v>
      </c>
    </row>
    <row r="7" spans="1:17" x14ac:dyDescent="0.25">
      <c r="A7" s="41">
        <v>1</v>
      </c>
      <c r="B7" s="41">
        <v>1433</v>
      </c>
      <c r="C7" s="250">
        <v>45671</v>
      </c>
      <c r="D7" s="41" t="s">
        <v>2479</v>
      </c>
      <c r="E7" s="41" t="s">
        <v>2046</v>
      </c>
      <c r="F7" s="41" t="s">
        <v>2551</v>
      </c>
      <c r="G7" s="41"/>
      <c r="I7" s="41"/>
      <c r="J7" s="41" t="s">
        <v>1182</v>
      </c>
      <c r="K7" s="41"/>
      <c r="N7" s="41">
        <v>184</v>
      </c>
      <c r="O7" s="76">
        <f t="shared" si="0"/>
        <v>12.6</v>
      </c>
      <c r="P7" s="41">
        <v>98</v>
      </c>
    </row>
    <row r="8" spans="1:17" x14ac:dyDescent="0.25">
      <c r="A8" s="41">
        <v>1</v>
      </c>
      <c r="B8" s="41">
        <v>1434</v>
      </c>
      <c r="C8" s="250">
        <v>45672</v>
      </c>
      <c r="D8" s="41" t="s">
        <v>2479</v>
      </c>
      <c r="E8" s="41" t="s">
        <v>2046</v>
      </c>
      <c r="F8" s="41" t="s">
        <v>2552</v>
      </c>
      <c r="G8" s="41"/>
      <c r="I8" s="41"/>
      <c r="J8" s="41" t="s">
        <v>1182</v>
      </c>
      <c r="K8" s="41"/>
      <c r="N8" s="41">
        <v>310</v>
      </c>
      <c r="O8" s="76">
        <f t="shared" si="0"/>
        <v>17.766666666666666</v>
      </c>
      <c r="P8" s="41">
        <v>85</v>
      </c>
    </row>
    <row r="9" spans="1:17" x14ac:dyDescent="0.25">
      <c r="A9" s="41">
        <v>1</v>
      </c>
      <c r="B9" s="41">
        <v>1435</v>
      </c>
      <c r="C9" s="250">
        <v>45673</v>
      </c>
      <c r="D9" s="41" t="s">
        <v>2479</v>
      </c>
      <c r="E9" s="41" t="s">
        <v>2046</v>
      </c>
      <c r="F9" s="41" t="s">
        <v>2552</v>
      </c>
      <c r="G9" s="41"/>
      <c r="I9" s="41"/>
      <c r="J9" s="41" t="s">
        <v>1182</v>
      </c>
      <c r="K9" s="41"/>
      <c r="N9" s="41">
        <v>287</v>
      </c>
      <c r="O9" s="76">
        <f t="shared" si="0"/>
        <v>22.549999999999997</v>
      </c>
      <c r="P9" s="41">
        <v>64</v>
      </c>
    </row>
    <row r="10" spans="1:17" x14ac:dyDescent="0.25">
      <c r="A10" s="41">
        <v>1</v>
      </c>
      <c r="B10" s="41">
        <v>1436</v>
      </c>
      <c r="C10" s="250">
        <v>45674</v>
      </c>
      <c r="D10" s="41" t="s">
        <v>2479</v>
      </c>
      <c r="E10" s="41" t="s">
        <v>2046</v>
      </c>
      <c r="F10" s="41" t="s">
        <v>2552</v>
      </c>
      <c r="G10" s="41"/>
      <c r="I10" s="41"/>
      <c r="J10" s="41" t="s">
        <v>1182</v>
      </c>
      <c r="K10" s="41"/>
      <c r="N10" s="41">
        <v>198</v>
      </c>
      <c r="O10" s="76">
        <f t="shared" si="0"/>
        <v>25.849999999999998</v>
      </c>
      <c r="P10" s="41">
        <v>114</v>
      </c>
    </row>
    <row r="11" spans="1:17" x14ac:dyDescent="0.25">
      <c r="A11" s="41">
        <v>1</v>
      </c>
      <c r="B11" s="41">
        <v>1437</v>
      </c>
      <c r="C11" s="250">
        <v>45675</v>
      </c>
      <c r="D11" s="41" t="s">
        <v>2479</v>
      </c>
      <c r="E11" s="41" t="s">
        <v>2046</v>
      </c>
      <c r="F11" s="41" t="s">
        <v>2552</v>
      </c>
      <c r="G11" s="41"/>
      <c r="I11" s="41"/>
      <c r="J11" s="41" t="s">
        <v>1182</v>
      </c>
      <c r="K11" s="41"/>
      <c r="N11" s="41">
        <v>348</v>
      </c>
      <c r="O11" s="76">
        <f t="shared" si="0"/>
        <v>31.65</v>
      </c>
      <c r="P11" s="41">
        <v>55</v>
      </c>
    </row>
    <row r="12" spans="1:17" x14ac:dyDescent="0.25">
      <c r="A12" s="41">
        <v>1</v>
      </c>
      <c r="B12" s="41">
        <v>1438</v>
      </c>
      <c r="C12" s="250">
        <v>45676</v>
      </c>
      <c r="D12" s="41" t="s">
        <v>2479</v>
      </c>
      <c r="E12" s="41" t="s">
        <v>2046</v>
      </c>
      <c r="F12" s="41" t="s">
        <v>2552</v>
      </c>
      <c r="G12" s="41"/>
      <c r="I12" s="41"/>
      <c r="J12" s="41" t="s">
        <v>1182</v>
      </c>
      <c r="K12" s="41"/>
      <c r="N12" s="41">
        <v>198</v>
      </c>
      <c r="O12" s="76">
        <f t="shared" si="0"/>
        <v>34.949999999999996</v>
      </c>
      <c r="P12" s="41">
        <v>65</v>
      </c>
    </row>
    <row r="13" spans="1:17" x14ac:dyDescent="0.25">
      <c r="A13" s="41">
        <v>1</v>
      </c>
      <c r="B13" s="41">
        <v>1439</v>
      </c>
      <c r="C13" s="250">
        <v>45677</v>
      </c>
      <c r="D13" s="41" t="s">
        <v>2479</v>
      </c>
      <c r="E13" s="41" t="s">
        <v>2046</v>
      </c>
      <c r="F13" s="41" t="s">
        <v>2553</v>
      </c>
      <c r="G13" s="41"/>
      <c r="I13" s="41"/>
      <c r="J13" s="41" t="s">
        <v>1182</v>
      </c>
      <c r="K13" s="41"/>
      <c r="N13" s="41">
        <v>266</v>
      </c>
      <c r="O13" s="76">
        <f t="shared" si="0"/>
        <v>39.383333333333326</v>
      </c>
      <c r="P13" s="41">
        <v>50</v>
      </c>
    </row>
    <row r="14" spans="1:17" x14ac:dyDescent="0.25">
      <c r="A14" s="41">
        <v>1</v>
      </c>
      <c r="B14" s="41">
        <v>1440</v>
      </c>
      <c r="C14" s="250">
        <v>45678</v>
      </c>
      <c r="D14" s="41" t="s">
        <v>2479</v>
      </c>
      <c r="E14" s="41" t="s">
        <v>2046</v>
      </c>
      <c r="F14" s="41" t="s">
        <v>2553</v>
      </c>
      <c r="G14" s="41"/>
      <c r="I14" s="41"/>
      <c r="J14" s="41" t="s">
        <v>1182</v>
      </c>
      <c r="K14" s="41"/>
      <c r="N14" s="41">
        <v>175</v>
      </c>
      <c r="O14" s="76">
        <f t="shared" si="0"/>
        <v>42.29999999999999</v>
      </c>
      <c r="P14" s="41">
        <v>83</v>
      </c>
    </row>
    <row r="15" spans="1:17" x14ac:dyDescent="0.25">
      <c r="A15" s="41">
        <v>1</v>
      </c>
      <c r="B15" s="41">
        <v>1441</v>
      </c>
      <c r="C15" s="250">
        <v>45679</v>
      </c>
      <c r="D15" s="41" t="s">
        <v>2479</v>
      </c>
      <c r="E15" s="41" t="s">
        <v>2046</v>
      </c>
      <c r="F15" s="41" t="s">
        <v>2553</v>
      </c>
      <c r="G15" s="41"/>
      <c r="I15" s="41"/>
      <c r="J15" s="41" t="s">
        <v>1877</v>
      </c>
      <c r="K15" s="41"/>
      <c r="N15" s="41">
        <v>305</v>
      </c>
      <c r="O15" s="76">
        <f t="shared" si="0"/>
        <v>47.383333333333326</v>
      </c>
    </row>
    <row r="16" spans="1:17" x14ac:dyDescent="0.25">
      <c r="A16" s="41">
        <v>1</v>
      </c>
      <c r="B16" s="41">
        <v>1442</v>
      </c>
      <c r="C16" s="250">
        <v>45681</v>
      </c>
      <c r="D16" s="41" t="s">
        <v>2479</v>
      </c>
      <c r="E16" s="41" t="s">
        <v>2046</v>
      </c>
      <c r="F16" s="41" t="s">
        <v>2551</v>
      </c>
      <c r="G16" s="41"/>
      <c r="I16" s="41"/>
      <c r="J16" s="41" t="s">
        <v>1877</v>
      </c>
      <c r="K16" s="41"/>
      <c r="N16" s="41">
        <v>109</v>
      </c>
      <c r="O16" s="76">
        <f t="shared" si="0"/>
        <v>49.199999999999996</v>
      </c>
    </row>
    <row r="17" spans="1:17" x14ac:dyDescent="0.25">
      <c r="A17" s="41">
        <v>1</v>
      </c>
      <c r="B17" s="41">
        <v>1443</v>
      </c>
      <c r="C17" s="250">
        <v>45682</v>
      </c>
      <c r="D17" s="41" t="s">
        <v>2479</v>
      </c>
      <c r="E17" s="41" t="s">
        <v>2046</v>
      </c>
      <c r="F17" s="41" t="s">
        <v>2551</v>
      </c>
      <c r="G17" s="41"/>
      <c r="I17" s="41"/>
      <c r="J17" s="41" t="s">
        <v>1877</v>
      </c>
      <c r="K17" s="41"/>
      <c r="N17" s="41">
        <v>163</v>
      </c>
      <c r="O17" s="76">
        <f t="shared" si="0"/>
        <v>51.916666666666664</v>
      </c>
    </row>
    <row r="18" spans="1:17" x14ac:dyDescent="0.25">
      <c r="A18" s="41">
        <v>1</v>
      </c>
      <c r="B18" s="41">
        <v>1444</v>
      </c>
      <c r="C18" s="250">
        <v>45683</v>
      </c>
      <c r="D18" s="41" t="s">
        <v>2479</v>
      </c>
      <c r="E18" s="41" t="s">
        <v>2046</v>
      </c>
      <c r="F18" s="41" t="s">
        <v>2551</v>
      </c>
      <c r="G18" s="41"/>
      <c r="I18" s="41"/>
      <c r="J18" s="41" t="s">
        <v>1182</v>
      </c>
      <c r="K18" s="41"/>
      <c r="N18" s="41">
        <v>50</v>
      </c>
      <c r="O18" s="76">
        <f t="shared" si="0"/>
        <v>52.75</v>
      </c>
      <c r="P18" s="41">
        <v>11</v>
      </c>
    </row>
    <row r="19" spans="1:17" x14ac:dyDescent="0.25">
      <c r="A19" s="41">
        <v>1</v>
      </c>
      <c r="B19" s="41">
        <v>1445</v>
      </c>
      <c r="C19" s="250">
        <v>45684</v>
      </c>
      <c r="D19" s="41" t="s">
        <v>2479</v>
      </c>
      <c r="E19" s="41" t="s">
        <v>2046</v>
      </c>
      <c r="F19" s="41" t="s">
        <v>2552</v>
      </c>
      <c r="G19" s="41"/>
      <c r="I19" s="41"/>
      <c r="J19" s="41" t="s">
        <v>1182</v>
      </c>
      <c r="K19" s="41"/>
      <c r="N19" s="41">
        <v>184</v>
      </c>
      <c r="O19" s="76">
        <f t="shared" si="0"/>
        <v>55.81666666666667</v>
      </c>
      <c r="P19" s="41">
        <v>59</v>
      </c>
    </row>
    <row r="20" spans="1:17" x14ac:dyDescent="0.25">
      <c r="A20" s="41">
        <v>1</v>
      </c>
      <c r="B20" s="41">
        <v>1446</v>
      </c>
      <c r="C20" s="250">
        <v>45685</v>
      </c>
      <c r="D20" s="41" t="s">
        <v>2479</v>
      </c>
      <c r="E20" s="41" t="s">
        <v>2046</v>
      </c>
      <c r="F20" s="41" t="s">
        <v>2553</v>
      </c>
      <c r="G20" s="41"/>
      <c r="I20" s="41"/>
      <c r="J20" s="41" t="s">
        <v>1182</v>
      </c>
      <c r="K20" s="41"/>
      <c r="N20" s="41">
        <v>228</v>
      </c>
      <c r="O20" s="76">
        <f t="shared" si="0"/>
        <v>59.616666666666667</v>
      </c>
      <c r="P20" s="41">
        <v>73</v>
      </c>
    </row>
    <row r="21" spans="1:17" x14ac:dyDescent="0.25">
      <c r="A21" s="41">
        <v>1</v>
      </c>
      <c r="B21" s="41">
        <v>1447</v>
      </c>
      <c r="C21" s="250">
        <v>45687</v>
      </c>
      <c r="D21" s="41" t="s">
        <v>2479</v>
      </c>
      <c r="E21" s="41" t="s">
        <v>2046</v>
      </c>
      <c r="F21" s="41" t="s">
        <v>2554</v>
      </c>
      <c r="G21" s="41"/>
      <c r="I21" s="41"/>
      <c r="J21" s="41" t="s">
        <v>1182</v>
      </c>
      <c r="K21" s="41"/>
      <c r="N21" s="41">
        <v>118</v>
      </c>
      <c r="O21" s="76">
        <f t="shared" si="0"/>
        <v>61.583333333333336</v>
      </c>
      <c r="P21" s="41">
        <v>24</v>
      </c>
    </row>
    <row r="22" spans="1:17" x14ac:dyDescent="0.25">
      <c r="A22" s="41">
        <v>1</v>
      </c>
      <c r="B22" s="41">
        <v>1448</v>
      </c>
      <c r="C22" s="250">
        <v>45694</v>
      </c>
      <c r="D22" s="41" t="s">
        <v>2479</v>
      </c>
      <c r="E22" s="41" t="s">
        <v>2046</v>
      </c>
      <c r="F22" s="41" t="s">
        <v>2553</v>
      </c>
      <c r="G22" s="41"/>
      <c r="I22" s="41"/>
      <c r="J22" s="41" t="s">
        <v>1182</v>
      </c>
      <c r="K22" s="41"/>
      <c r="N22" s="41">
        <v>182</v>
      </c>
      <c r="O22" s="76">
        <f t="shared" si="0"/>
        <v>64.616666666666674</v>
      </c>
      <c r="P22" s="41">
        <v>57</v>
      </c>
    </row>
    <row r="23" spans="1:17" x14ac:dyDescent="0.25">
      <c r="A23" s="41">
        <v>1</v>
      </c>
      <c r="B23" s="41">
        <v>1449</v>
      </c>
      <c r="C23" s="250">
        <v>45695</v>
      </c>
      <c r="D23" s="41" t="s">
        <v>2479</v>
      </c>
      <c r="E23" s="41" t="s">
        <v>2046</v>
      </c>
      <c r="F23" s="41" t="s">
        <v>2553</v>
      </c>
      <c r="G23" s="41"/>
      <c r="I23" s="41"/>
      <c r="J23" s="41" t="s">
        <v>1182</v>
      </c>
      <c r="K23" s="41"/>
      <c r="N23" s="41">
        <v>253</v>
      </c>
      <c r="O23" s="76">
        <f t="shared" si="0"/>
        <v>68.833333333333343</v>
      </c>
      <c r="P23" s="41">
        <v>73</v>
      </c>
    </row>
    <row r="24" spans="1:17" x14ac:dyDescent="0.25">
      <c r="A24" s="41">
        <v>1</v>
      </c>
      <c r="B24" s="41">
        <v>1450</v>
      </c>
      <c r="C24" s="250">
        <v>45696</v>
      </c>
      <c r="D24" s="41" t="s">
        <v>2479</v>
      </c>
      <c r="E24" s="41" t="s">
        <v>2046</v>
      </c>
      <c r="F24" s="41" t="s">
        <v>2553</v>
      </c>
      <c r="G24" s="41"/>
      <c r="I24" s="41"/>
      <c r="J24" s="41" t="s">
        <v>1182</v>
      </c>
      <c r="K24" s="41"/>
      <c r="N24" s="41">
        <v>112</v>
      </c>
      <c r="O24" s="76">
        <f t="shared" si="0"/>
        <v>70.7</v>
      </c>
      <c r="P24" s="41">
        <v>30</v>
      </c>
    </row>
    <row r="25" spans="1:17" x14ac:dyDescent="0.25">
      <c r="A25" s="41">
        <v>1</v>
      </c>
      <c r="B25" s="41">
        <v>1451</v>
      </c>
      <c r="C25" s="250">
        <v>45697</v>
      </c>
      <c r="D25" s="41" t="s">
        <v>2479</v>
      </c>
      <c r="E25" s="41" t="s">
        <v>2046</v>
      </c>
      <c r="F25" s="41" t="s">
        <v>2553</v>
      </c>
      <c r="G25" s="41"/>
      <c r="I25" s="41"/>
      <c r="J25" s="41" t="s">
        <v>1182</v>
      </c>
      <c r="K25" s="41"/>
      <c r="N25" s="41">
        <v>127</v>
      </c>
      <c r="O25" s="76">
        <f t="shared" si="0"/>
        <v>72.816666666666663</v>
      </c>
      <c r="P25" s="41">
        <v>30</v>
      </c>
    </row>
    <row r="26" spans="1:17" x14ac:dyDescent="0.25">
      <c r="A26" s="41">
        <v>1</v>
      </c>
      <c r="B26" s="41">
        <v>1452</v>
      </c>
      <c r="C26" s="250">
        <v>45698</v>
      </c>
      <c r="D26" s="41" t="s">
        <v>2479</v>
      </c>
      <c r="E26" s="41" t="s">
        <v>2046</v>
      </c>
      <c r="F26" s="41" t="s">
        <v>2553</v>
      </c>
      <c r="G26" s="41"/>
      <c r="I26" s="41"/>
      <c r="J26" s="41" t="s">
        <v>1182</v>
      </c>
      <c r="K26" s="41"/>
      <c r="N26" s="41">
        <v>211</v>
      </c>
      <c r="O26" s="76">
        <f t="shared" si="0"/>
        <v>76.333333333333329</v>
      </c>
      <c r="P26" s="41">
        <v>58</v>
      </c>
    </row>
    <row r="27" spans="1:17" x14ac:dyDescent="0.25">
      <c r="A27" s="41">
        <v>1</v>
      </c>
      <c r="B27" s="41">
        <v>1453</v>
      </c>
      <c r="C27" s="250">
        <v>45700</v>
      </c>
      <c r="D27" s="41" t="s">
        <v>2479</v>
      </c>
      <c r="E27" s="41" t="s">
        <v>2046</v>
      </c>
      <c r="F27" s="41" t="s">
        <v>2553</v>
      </c>
      <c r="G27" s="41"/>
      <c r="I27" s="41"/>
      <c r="J27" s="41" t="s">
        <v>1182</v>
      </c>
      <c r="K27" s="41"/>
      <c r="N27" s="41">
        <v>265</v>
      </c>
      <c r="O27" s="76">
        <f t="shared" si="0"/>
        <v>80.75</v>
      </c>
      <c r="P27" s="41">
        <v>71</v>
      </c>
    </row>
    <row r="28" spans="1:17" x14ac:dyDescent="0.25">
      <c r="A28" s="41">
        <v>1</v>
      </c>
      <c r="B28" s="41">
        <v>1454</v>
      </c>
      <c r="C28" s="250">
        <v>45708</v>
      </c>
      <c r="D28" s="41" t="s">
        <v>2479</v>
      </c>
      <c r="E28" s="41" t="s">
        <v>532</v>
      </c>
      <c r="F28" s="41" t="s">
        <v>2050</v>
      </c>
      <c r="G28" s="41" t="s">
        <v>2193</v>
      </c>
      <c r="I28" s="41" t="s">
        <v>1650</v>
      </c>
      <c r="J28" s="41" t="s">
        <v>1182</v>
      </c>
      <c r="L28" s="41">
        <v>2700</v>
      </c>
      <c r="M28" s="59">
        <v>0.51388888888888895</v>
      </c>
      <c r="N28" s="41">
        <v>115</v>
      </c>
      <c r="O28" s="76">
        <f t="shared" si="0"/>
        <v>82.666666666666671</v>
      </c>
      <c r="P28" s="41">
        <v>32</v>
      </c>
    </row>
    <row r="29" spans="1:17" x14ac:dyDescent="0.25">
      <c r="A29" s="41">
        <v>1</v>
      </c>
      <c r="B29" s="41">
        <v>1455</v>
      </c>
      <c r="C29" s="250">
        <v>45711</v>
      </c>
      <c r="D29" s="41" t="s">
        <v>2479</v>
      </c>
      <c r="E29" s="41" t="s">
        <v>532</v>
      </c>
      <c r="F29" s="41" t="s">
        <v>1836</v>
      </c>
      <c r="G29" s="41" t="s">
        <v>1830</v>
      </c>
      <c r="H29" s="41">
        <v>400</v>
      </c>
      <c r="I29" s="41" t="s">
        <v>1650</v>
      </c>
      <c r="J29" s="41" t="s">
        <v>1182</v>
      </c>
      <c r="L29" s="41">
        <v>1800</v>
      </c>
      <c r="M29" s="59">
        <v>0.52777777777777779</v>
      </c>
      <c r="N29" s="41">
        <v>178</v>
      </c>
      <c r="O29" s="76">
        <f t="shared" si="0"/>
        <v>85.63333333333334</v>
      </c>
      <c r="P29" s="41">
        <v>35</v>
      </c>
    </row>
    <row r="30" spans="1:17" x14ac:dyDescent="0.25">
      <c r="A30" s="41">
        <v>1</v>
      </c>
      <c r="B30" s="41">
        <v>1456</v>
      </c>
      <c r="C30" s="250">
        <v>45716</v>
      </c>
      <c r="D30" s="41" t="s">
        <v>2479</v>
      </c>
      <c r="E30" s="41" t="s">
        <v>532</v>
      </c>
      <c r="F30" s="41" t="s">
        <v>2050</v>
      </c>
      <c r="G30" s="41" t="s">
        <v>2193</v>
      </c>
      <c r="I30" s="41" t="s">
        <v>395</v>
      </c>
      <c r="J30" s="41" t="s">
        <v>1182</v>
      </c>
      <c r="L30" s="41">
        <v>1700</v>
      </c>
      <c r="M30" s="59">
        <v>0.50416666666666665</v>
      </c>
      <c r="N30" s="41">
        <v>51</v>
      </c>
      <c r="O30" s="76">
        <f t="shared" si="0"/>
        <v>86.483333333333334</v>
      </c>
      <c r="P30" s="41">
        <v>10</v>
      </c>
    </row>
    <row r="31" spans="1:17" x14ac:dyDescent="0.25">
      <c r="A31" s="41">
        <v>1</v>
      </c>
      <c r="B31" s="41">
        <v>1457</v>
      </c>
      <c r="C31" s="250">
        <v>45717</v>
      </c>
      <c r="D31" s="41" t="s">
        <v>2479</v>
      </c>
      <c r="E31" s="41" t="s">
        <v>532</v>
      </c>
      <c r="F31" s="41" t="s">
        <v>2050</v>
      </c>
      <c r="G31" s="41" t="s">
        <v>2193</v>
      </c>
      <c r="I31" s="41" t="s">
        <v>1650</v>
      </c>
      <c r="J31" s="41" t="s">
        <v>1877</v>
      </c>
      <c r="N31" s="41">
        <v>21</v>
      </c>
      <c r="O31" s="76">
        <f t="shared" si="0"/>
        <v>86.833333333333329</v>
      </c>
      <c r="Q31" s="43" t="s">
        <v>2556</v>
      </c>
    </row>
    <row r="32" spans="1:17" x14ac:dyDescent="0.25">
      <c r="A32" s="41">
        <v>1</v>
      </c>
      <c r="B32" s="41">
        <v>1458</v>
      </c>
      <c r="C32" s="250">
        <v>45717</v>
      </c>
      <c r="D32" s="41" t="s">
        <v>2479</v>
      </c>
      <c r="E32" s="41" t="s">
        <v>532</v>
      </c>
      <c r="F32" s="41" t="s">
        <v>2442</v>
      </c>
      <c r="G32" s="41" t="s">
        <v>1830</v>
      </c>
      <c r="H32" s="41">
        <v>250</v>
      </c>
      <c r="I32" s="41" t="s">
        <v>2555</v>
      </c>
      <c r="J32" s="41" t="s">
        <v>1877</v>
      </c>
      <c r="N32" s="41">
        <v>65</v>
      </c>
      <c r="O32" s="76">
        <f t="shared" si="0"/>
        <v>87.916666666666657</v>
      </c>
    </row>
    <row r="33" spans="1:17" x14ac:dyDescent="0.25">
      <c r="A33" s="41">
        <v>1</v>
      </c>
      <c r="B33" s="41">
        <v>1459</v>
      </c>
      <c r="C33" s="250">
        <v>45719</v>
      </c>
      <c r="D33" s="41" t="s">
        <v>2479</v>
      </c>
      <c r="E33" s="41" t="s">
        <v>532</v>
      </c>
      <c r="F33" s="41" t="s">
        <v>2050</v>
      </c>
      <c r="G33" s="41" t="s">
        <v>1830</v>
      </c>
      <c r="H33" s="41">
        <v>500</v>
      </c>
      <c r="I33" s="41" t="s">
        <v>1650</v>
      </c>
      <c r="J33" s="41" t="s">
        <v>1877</v>
      </c>
      <c r="N33" s="41">
        <v>21</v>
      </c>
      <c r="O33" s="76">
        <f t="shared" si="0"/>
        <v>88.266666666666652</v>
      </c>
    </row>
    <row r="34" spans="1:17" x14ac:dyDescent="0.25">
      <c r="A34" s="41">
        <v>1</v>
      </c>
      <c r="B34" s="41">
        <v>1460</v>
      </c>
      <c r="C34" s="250">
        <v>45720</v>
      </c>
      <c r="D34" s="41" t="s">
        <v>2479</v>
      </c>
      <c r="E34" s="41" t="s">
        <v>532</v>
      </c>
      <c r="F34" s="41" t="s">
        <v>2050</v>
      </c>
      <c r="G34" s="41" t="s">
        <v>2193</v>
      </c>
      <c r="I34" s="41" t="s">
        <v>1650</v>
      </c>
      <c r="J34" s="41" t="s">
        <v>1877</v>
      </c>
      <c r="N34" s="41">
        <v>123</v>
      </c>
      <c r="O34" s="76">
        <f t="shared" si="0"/>
        <v>90.316666666666649</v>
      </c>
    </row>
    <row r="35" spans="1:17" x14ac:dyDescent="0.25">
      <c r="A35" s="41">
        <v>1</v>
      </c>
      <c r="B35" s="41">
        <v>1461</v>
      </c>
      <c r="C35" s="250">
        <v>45721</v>
      </c>
      <c r="D35" s="41" t="s">
        <v>2479</v>
      </c>
      <c r="E35" s="41" t="s">
        <v>532</v>
      </c>
      <c r="F35" s="41" t="s">
        <v>2050</v>
      </c>
      <c r="G35" s="41" t="s">
        <v>2193</v>
      </c>
      <c r="I35" s="41" t="s">
        <v>1650</v>
      </c>
      <c r="J35" s="41" t="s">
        <v>1877</v>
      </c>
      <c r="M35" s="59">
        <v>0.4777777777777778</v>
      </c>
      <c r="N35" s="41">
        <v>180</v>
      </c>
      <c r="O35" s="76">
        <f t="shared" si="0"/>
        <v>93.316666666666649</v>
      </c>
    </row>
    <row r="36" spans="1:17" x14ac:dyDescent="0.25">
      <c r="A36" s="41">
        <v>1</v>
      </c>
      <c r="B36" s="41">
        <v>1462</v>
      </c>
      <c r="C36" s="250">
        <v>45734</v>
      </c>
      <c r="D36" s="41" t="s">
        <v>2479</v>
      </c>
      <c r="E36" s="41" t="s">
        <v>532</v>
      </c>
      <c r="F36" s="41" t="s">
        <v>2050</v>
      </c>
      <c r="G36" s="41" t="s">
        <v>2193</v>
      </c>
      <c r="I36" s="41" t="s">
        <v>2557</v>
      </c>
      <c r="J36" s="41" t="s">
        <v>1182</v>
      </c>
      <c r="L36" s="41">
        <v>1644</v>
      </c>
      <c r="M36" s="59">
        <v>0.51527777777777783</v>
      </c>
      <c r="N36" s="41">
        <v>99</v>
      </c>
      <c r="O36" s="76">
        <f t="shared" si="0"/>
        <v>94.966666666666654</v>
      </c>
      <c r="P36" s="41">
        <v>36</v>
      </c>
    </row>
    <row r="37" spans="1:17" x14ac:dyDescent="0.25">
      <c r="A37" s="41">
        <v>1</v>
      </c>
      <c r="B37" s="41">
        <v>1463</v>
      </c>
      <c r="C37" s="250">
        <v>45746</v>
      </c>
      <c r="D37" s="41" t="s">
        <v>2479</v>
      </c>
      <c r="E37" s="41" t="s">
        <v>532</v>
      </c>
      <c r="F37" s="41" t="s">
        <v>2050</v>
      </c>
      <c r="J37" s="41" t="s">
        <v>1877</v>
      </c>
      <c r="N37" s="41">
        <v>97</v>
      </c>
      <c r="O37" s="76">
        <f t="shared" si="0"/>
        <v>96.583333333333314</v>
      </c>
    </row>
    <row r="38" spans="1:17" x14ac:dyDescent="0.25">
      <c r="A38" s="41">
        <v>1</v>
      </c>
      <c r="B38" s="41">
        <v>1464</v>
      </c>
      <c r="C38" s="250">
        <v>45747</v>
      </c>
      <c r="D38" s="41" t="s">
        <v>2479</v>
      </c>
      <c r="E38" s="41" t="s">
        <v>532</v>
      </c>
      <c r="F38" s="41" t="s">
        <v>2050</v>
      </c>
      <c r="J38" s="41" t="s">
        <v>1877</v>
      </c>
      <c r="N38" s="41">
        <v>50</v>
      </c>
      <c r="O38" s="76">
        <f t="shared" si="0"/>
        <v>97.416666666666643</v>
      </c>
    </row>
    <row r="39" spans="1:17" x14ac:dyDescent="0.25">
      <c r="A39" s="41">
        <v>1</v>
      </c>
      <c r="B39" s="41">
        <v>1465</v>
      </c>
      <c r="C39" s="250">
        <v>45752</v>
      </c>
      <c r="D39" s="41" t="s">
        <v>2479</v>
      </c>
      <c r="E39" s="41" t="s">
        <v>532</v>
      </c>
      <c r="F39" s="41" t="s">
        <v>2442</v>
      </c>
      <c r="G39" s="41" t="s">
        <v>1830</v>
      </c>
      <c r="H39" s="41">
        <v>200</v>
      </c>
      <c r="J39" s="41" t="s">
        <v>1877</v>
      </c>
      <c r="N39" s="41">
        <v>40</v>
      </c>
      <c r="O39" s="76">
        <f t="shared" si="0"/>
        <v>98.083333333333314</v>
      </c>
    </row>
    <row r="40" spans="1:17" x14ac:dyDescent="0.25">
      <c r="A40" s="41">
        <v>1</v>
      </c>
      <c r="B40" s="41">
        <v>1466</v>
      </c>
      <c r="C40" s="250">
        <v>45753</v>
      </c>
      <c r="D40" s="41" t="s">
        <v>2479</v>
      </c>
      <c r="E40" s="41" t="s">
        <v>532</v>
      </c>
      <c r="F40" s="41" t="s">
        <v>2442</v>
      </c>
      <c r="G40" s="41" t="s">
        <v>1830</v>
      </c>
      <c r="H40" s="41">
        <v>250</v>
      </c>
      <c r="J40" s="41" t="s">
        <v>1877</v>
      </c>
      <c r="N40" s="41">
        <v>52</v>
      </c>
      <c r="O40" s="76">
        <f t="shared" si="0"/>
        <v>98.949999999999974</v>
      </c>
    </row>
    <row r="41" spans="1:17" x14ac:dyDescent="0.25">
      <c r="A41" s="41">
        <v>1</v>
      </c>
      <c r="B41" s="41">
        <v>1467</v>
      </c>
      <c r="C41" s="250">
        <v>45754</v>
      </c>
      <c r="D41" s="41" t="s">
        <v>2479</v>
      </c>
      <c r="E41" s="41" t="s">
        <v>532</v>
      </c>
      <c r="F41" s="41" t="s">
        <v>2050</v>
      </c>
      <c r="G41" s="41" t="s">
        <v>2193</v>
      </c>
      <c r="I41" s="41" t="s">
        <v>1650</v>
      </c>
      <c r="J41" s="41" t="s">
        <v>1877</v>
      </c>
      <c r="N41" s="41">
        <v>131</v>
      </c>
      <c r="O41" s="76">
        <f t="shared" si="0"/>
        <v>101.13333333333331</v>
      </c>
    </row>
    <row r="42" spans="1:17" x14ac:dyDescent="0.25">
      <c r="A42" s="41">
        <v>1</v>
      </c>
      <c r="B42" s="41">
        <v>1468</v>
      </c>
      <c r="C42" s="250">
        <v>45755</v>
      </c>
      <c r="D42" s="41" t="s">
        <v>2479</v>
      </c>
      <c r="E42" s="41" t="s">
        <v>532</v>
      </c>
      <c r="F42" s="41" t="s">
        <v>2050</v>
      </c>
      <c r="G42" s="41" t="s">
        <v>1830</v>
      </c>
      <c r="H42" s="41">
        <v>700</v>
      </c>
      <c r="I42" s="41" t="s">
        <v>2559</v>
      </c>
      <c r="J42" s="41" t="s">
        <v>1877</v>
      </c>
      <c r="N42" s="41">
        <v>68</v>
      </c>
      <c r="O42" s="76">
        <f t="shared" si="0"/>
        <v>102.26666666666665</v>
      </c>
      <c r="Q42" s="43" t="s">
        <v>2560</v>
      </c>
    </row>
    <row r="43" spans="1:17" ht="21" x14ac:dyDescent="0.25">
      <c r="A43" s="41">
        <v>1</v>
      </c>
      <c r="B43" s="41">
        <v>1469</v>
      </c>
      <c r="C43" s="250">
        <v>45755</v>
      </c>
      <c r="D43" s="41" t="s">
        <v>2479</v>
      </c>
      <c r="E43" s="41" t="s">
        <v>532</v>
      </c>
      <c r="F43" s="41" t="s">
        <v>1836</v>
      </c>
      <c r="G43" s="41" t="s">
        <v>2558</v>
      </c>
      <c r="I43" s="41" t="s">
        <v>1650</v>
      </c>
      <c r="J43" s="41" t="s">
        <v>1182</v>
      </c>
      <c r="N43" s="41">
        <v>170</v>
      </c>
      <c r="O43" s="76">
        <f t="shared" si="0"/>
        <v>105.09999999999998</v>
      </c>
      <c r="P43" s="41">
        <v>47</v>
      </c>
      <c r="Q43" s="43" t="s">
        <v>2561</v>
      </c>
    </row>
    <row r="44" spans="1:17" ht="31.2" x14ac:dyDescent="0.25">
      <c r="A44" s="41">
        <v>1</v>
      </c>
      <c r="B44" s="41">
        <v>1470</v>
      </c>
      <c r="C44" s="250">
        <v>45756</v>
      </c>
      <c r="D44" s="41" t="s">
        <v>2479</v>
      </c>
      <c r="E44" s="41" t="s">
        <v>532</v>
      </c>
      <c r="F44" s="41" t="s">
        <v>2050</v>
      </c>
      <c r="G44" s="41" t="s">
        <v>2193</v>
      </c>
      <c r="I44" s="41" t="s">
        <v>1535</v>
      </c>
      <c r="J44" s="41" t="s">
        <v>1182</v>
      </c>
      <c r="N44" s="41">
        <v>119</v>
      </c>
      <c r="O44" s="76">
        <f t="shared" si="0"/>
        <v>107.08333333333331</v>
      </c>
      <c r="P44" s="41">
        <v>15</v>
      </c>
      <c r="Q44" s="43" t="s">
        <v>2562</v>
      </c>
    </row>
    <row r="45" spans="1:17" ht="31.2" x14ac:dyDescent="0.25">
      <c r="A45" s="41">
        <v>1</v>
      </c>
      <c r="B45" s="41">
        <v>1471</v>
      </c>
      <c r="C45" s="250">
        <v>45757</v>
      </c>
      <c r="D45" s="41" t="s">
        <v>2479</v>
      </c>
      <c r="E45" s="41" t="s">
        <v>532</v>
      </c>
      <c r="F45" s="41" t="s">
        <v>2050</v>
      </c>
      <c r="G45" s="41" t="s">
        <v>2193</v>
      </c>
      <c r="I45" s="41" t="s">
        <v>2443</v>
      </c>
      <c r="J45" s="41" t="s">
        <v>1182</v>
      </c>
      <c r="N45" s="41">
        <v>198</v>
      </c>
      <c r="O45" s="76">
        <f t="shared" si="0"/>
        <v>110.38333333333331</v>
      </c>
      <c r="P45" s="41">
        <v>35</v>
      </c>
      <c r="Q45" s="43" t="s">
        <v>2563</v>
      </c>
    </row>
    <row r="46" spans="1:17" x14ac:dyDescent="0.25">
      <c r="A46" s="41">
        <v>1</v>
      </c>
      <c r="B46" s="41">
        <v>1472</v>
      </c>
      <c r="C46" s="250">
        <v>45759</v>
      </c>
      <c r="D46" s="41" t="s">
        <v>2479</v>
      </c>
      <c r="E46" s="41" t="s">
        <v>532</v>
      </c>
      <c r="F46" s="41" t="s">
        <v>2050</v>
      </c>
      <c r="G46" s="41" t="s">
        <v>2193</v>
      </c>
      <c r="J46" s="41" t="s">
        <v>1877</v>
      </c>
      <c r="N46" s="41">
        <v>25</v>
      </c>
      <c r="O46" s="76">
        <f t="shared" si="0"/>
        <v>110.79999999999998</v>
      </c>
    </row>
    <row r="47" spans="1:17" x14ac:dyDescent="0.25">
      <c r="A47" s="41">
        <v>1</v>
      </c>
      <c r="B47" s="41">
        <v>1473</v>
      </c>
      <c r="C47" s="250">
        <v>45759</v>
      </c>
      <c r="D47" s="41" t="s">
        <v>2479</v>
      </c>
      <c r="E47" s="41" t="s">
        <v>532</v>
      </c>
      <c r="F47" s="41" t="s">
        <v>2050</v>
      </c>
      <c r="G47" s="41" t="s">
        <v>2193</v>
      </c>
      <c r="J47" s="41" t="s">
        <v>1877</v>
      </c>
      <c r="N47" s="41">
        <v>100</v>
      </c>
      <c r="O47" s="76">
        <f t="shared" si="0"/>
        <v>112.46666666666665</v>
      </c>
    </row>
    <row r="48" spans="1:17" x14ac:dyDescent="0.25">
      <c r="A48" s="41">
        <v>1</v>
      </c>
      <c r="B48" s="41">
        <v>1474</v>
      </c>
      <c r="C48" s="250">
        <v>45765</v>
      </c>
      <c r="D48" s="41" t="s">
        <v>2479</v>
      </c>
      <c r="E48" s="41" t="s">
        <v>532</v>
      </c>
      <c r="F48" s="41" t="s">
        <v>2050</v>
      </c>
      <c r="G48" s="41" t="s">
        <v>2193</v>
      </c>
      <c r="I48" s="41" t="s">
        <v>2564</v>
      </c>
      <c r="J48" s="41" t="s">
        <v>1182</v>
      </c>
      <c r="N48" s="41">
        <v>254</v>
      </c>
      <c r="O48" s="76">
        <f t="shared" si="0"/>
        <v>116.69999999999999</v>
      </c>
      <c r="P48" s="41">
        <v>64</v>
      </c>
      <c r="Q48" s="43" t="s">
        <v>2565</v>
      </c>
    </row>
    <row r="49" spans="1:17" ht="31.2" x14ac:dyDescent="0.25">
      <c r="A49" s="41">
        <v>1</v>
      </c>
      <c r="B49" s="41">
        <v>1475</v>
      </c>
      <c r="C49" s="250">
        <v>45776</v>
      </c>
      <c r="D49" s="41" t="s">
        <v>2479</v>
      </c>
      <c r="E49" s="41" t="s">
        <v>532</v>
      </c>
      <c r="F49" s="41" t="s">
        <v>2050</v>
      </c>
      <c r="G49" s="41" t="s">
        <v>2193</v>
      </c>
      <c r="I49" s="41" t="s">
        <v>2566</v>
      </c>
      <c r="J49" s="41" t="s">
        <v>1182</v>
      </c>
      <c r="N49" s="41">
        <v>150</v>
      </c>
      <c r="O49" s="76">
        <f t="shared" si="0"/>
        <v>119.19999999999999</v>
      </c>
      <c r="Q49" s="43" t="s">
        <v>2567</v>
      </c>
    </row>
    <row r="50" spans="1:17" x14ac:dyDescent="0.25">
      <c r="A50" s="41">
        <v>1</v>
      </c>
      <c r="B50" s="41">
        <v>1476</v>
      </c>
      <c r="C50" s="250">
        <v>45776</v>
      </c>
      <c r="D50" s="41" t="s">
        <v>2479</v>
      </c>
      <c r="E50" s="41" t="s">
        <v>532</v>
      </c>
      <c r="F50" s="41" t="s">
        <v>2435</v>
      </c>
      <c r="G50" s="41" t="s">
        <v>1830</v>
      </c>
      <c r="H50" s="41">
        <v>450</v>
      </c>
      <c r="I50" s="41" t="s">
        <v>1650</v>
      </c>
      <c r="J50" s="41" t="s">
        <v>1877</v>
      </c>
      <c r="N50" s="41">
        <v>15</v>
      </c>
      <c r="O50" s="76">
        <f t="shared" si="0"/>
        <v>119.44999999999999</v>
      </c>
      <c r="Q50" s="43" t="s">
        <v>2568</v>
      </c>
    </row>
    <row r="51" spans="1:17" x14ac:dyDescent="0.25">
      <c r="A51" s="41">
        <v>1</v>
      </c>
      <c r="B51" s="41">
        <v>1477</v>
      </c>
      <c r="C51" s="250">
        <v>45778</v>
      </c>
      <c r="D51" s="41" t="s">
        <v>2479</v>
      </c>
      <c r="E51" s="41" t="s">
        <v>532</v>
      </c>
      <c r="F51" s="41" t="s">
        <v>2050</v>
      </c>
      <c r="G51" s="41" t="s">
        <v>2193</v>
      </c>
      <c r="I51" s="41" t="s">
        <v>1650</v>
      </c>
      <c r="J51" s="41" t="s">
        <v>1877</v>
      </c>
      <c r="N51" s="41">
        <v>35</v>
      </c>
      <c r="O51" s="76">
        <f t="shared" si="0"/>
        <v>120.03333333333332</v>
      </c>
    </row>
    <row r="52" spans="1:17" hidden="1" x14ac:dyDescent="0.25">
      <c r="A52" s="41">
        <v>1</v>
      </c>
      <c r="B52" s="41">
        <v>1478</v>
      </c>
      <c r="C52" s="250">
        <v>45778</v>
      </c>
      <c r="D52" s="41" t="s">
        <v>2569</v>
      </c>
      <c r="E52" s="41" t="s">
        <v>532</v>
      </c>
      <c r="F52" s="41" t="s">
        <v>2050</v>
      </c>
      <c r="G52" s="41" t="s">
        <v>2193</v>
      </c>
      <c r="I52" s="41" t="s">
        <v>1650</v>
      </c>
      <c r="J52" s="41" t="s">
        <v>1877</v>
      </c>
      <c r="N52" s="41">
        <v>80</v>
      </c>
      <c r="O52" s="76">
        <f t="shared" si="0"/>
        <v>121.36666666666665</v>
      </c>
      <c r="Q52" s="43" t="s">
        <v>2570</v>
      </c>
    </row>
    <row r="53" spans="1:17" x14ac:dyDescent="0.25">
      <c r="A53" s="41">
        <v>1</v>
      </c>
      <c r="B53" s="41">
        <v>1479</v>
      </c>
      <c r="C53" s="250">
        <v>45780</v>
      </c>
      <c r="D53" s="41" t="s">
        <v>2479</v>
      </c>
      <c r="E53" s="41" t="s">
        <v>532</v>
      </c>
      <c r="F53" s="41" t="s">
        <v>2050</v>
      </c>
      <c r="G53" s="41" t="s">
        <v>2193</v>
      </c>
      <c r="I53" s="41" t="s">
        <v>1650</v>
      </c>
      <c r="J53" s="41" t="s">
        <v>1877</v>
      </c>
      <c r="N53" s="41">
        <v>56</v>
      </c>
      <c r="O53" s="76">
        <f t="shared" si="0"/>
        <v>122.29999999999998</v>
      </c>
    </row>
    <row r="54" spans="1:17" x14ac:dyDescent="0.25">
      <c r="A54" s="41">
        <v>1</v>
      </c>
      <c r="B54" s="41">
        <v>1480</v>
      </c>
      <c r="C54" s="250">
        <v>45784</v>
      </c>
      <c r="D54" s="41" t="s">
        <v>2479</v>
      </c>
      <c r="E54" s="41" t="s">
        <v>532</v>
      </c>
      <c r="F54" s="41" t="s">
        <v>2050</v>
      </c>
      <c r="G54" s="41" t="s">
        <v>2193</v>
      </c>
      <c r="I54" s="41" t="s">
        <v>2572</v>
      </c>
      <c r="J54" s="41" t="s">
        <v>1182</v>
      </c>
      <c r="N54" s="41">
        <v>162</v>
      </c>
      <c r="O54" s="76">
        <f t="shared" si="0"/>
        <v>124.99999999999999</v>
      </c>
      <c r="P54" s="41">
        <v>52</v>
      </c>
      <c r="Q54" s="43" t="s">
        <v>2573</v>
      </c>
    </row>
    <row r="55" spans="1:17" x14ac:dyDescent="0.25">
      <c r="A55" s="41">
        <v>1</v>
      </c>
      <c r="B55" s="41">
        <v>1481</v>
      </c>
      <c r="C55" s="250">
        <v>45785</v>
      </c>
      <c r="D55" s="41" t="s">
        <v>2479</v>
      </c>
      <c r="E55" s="41" t="s">
        <v>532</v>
      </c>
      <c r="F55" s="41" t="s">
        <v>2050</v>
      </c>
      <c r="G55" s="41" t="s">
        <v>2193</v>
      </c>
      <c r="I55" s="41" t="s">
        <v>2574</v>
      </c>
      <c r="J55" s="41" t="s">
        <v>1182</v>
      </c>
      <c r="N55" s="41">
        <v>70</v>
      </c>
      <c r="O55" s="76">
        <f t="shared" si="0"/>
        <v>126.16666666666666</v>
      </c>
      <c r="P55" s="41">
        <v>20</v>
      </c>
      <c r="Q55" s="43" t="s">
        <v>2575</v>
      </c>
    </row>
    <row r="56" spans="1:17" ht="21" hidden="1" x14ac:dyDescent="0.25">
      <c r="A56" s="41">
        <v>1</v>
      </c>
      <c r="B56" s="41">
        <v>1482</v>
      </c>
      <c r="C56" s="250">
        <v>45786</v>
      </c>
      <c r="D56" s="41" t="s">
        <v>2571</v>
      </c>
      <c r="E56" s="41" t="s">
        <v>532</v>
      </c>
      <c r="F56" s="41" t="s">
        <v>2050</v>
      </c>
      <c r="G56" s="41" t="s">
        <v>2193</v>
      </c>
      <c r="I56" s="41" t="s">
        <v>1650</v>
      </c>
      <c r="J56" s="41" t="s">
        <v>1877</v>
      </c>
      <c r="N56" s="41">
        <v>118</v>
      </c>
      <c r="O56" s="76">
        <f t="shared" si="0"/>
        <v>128.13333333333333</v>
      </c>
      <c r="Q56" s="43" t="s">
        <v>2576</v>
      </c>
    </row>
    <row r="57" spans="1:17" x14ac:dyDescent="0.25">
      <c r="A57" s="41">
        <v>1</v>
      </c>
      <c r="B57" s="41">
        <v>1483</v>
      </c>
      <c r="C57" s="250">
        <v>45790</v>
      </c>
      <c r="D57" s="41" t="s">
        <v>2479</v>
      </c>
      <c r="E57" s="41" t="s">
        <v>2577</v>
      </c>
      <c r="F57" s="41" t="s">
        <v>2500</v>
      </c>
      <c r="G57" s="41" t="s">
        <v>2193</v>
      </c>
      <c r="I57" s="41" t="s">
        <v>748</v>
      </c>
      <c r="J57" s="41" t="s">
        <v>1877</v>
      </c>
      <c r="N57" s="41">
        <v>62</v>
      </c>
      <c r="O57" s="76">
        <f t="shared" si="0"/>
        <v>129.16666666666666</v>
      </c>
    </row>
    <row r="58" spans="1:17" x14ac:dyDescent="0.25">
      <c r="A58" s="41">
        <v>1</v>
      </c>
      <c r="B58" s="41">
        <v>1484</v>
      </c>
      <c r="C58" s="250">
        <v>45792</v>
      </c>
      <c r="D58" s="41" t="s">
        <v>2479</v>
      </c>
      <c r="E58" s="41" t="s">
        <v>2577</v>
      </c>
      <c r="F58" s="41" t="s">
        <v>1717</v>
      </c>
      <c r="G58" s="41" t="s">
        <v>2193</v>
      </c>
      <c r="I58" s="41" t="s">
        <v>1717</v>
      </c>
      <c r="J58" s="41" t="s">
        <v>1877</v>
      </c>
      <c r="N58" s="41">
        <v>6</v>
      </c>
      <c r="O58" s="76">
        <f t="shared" si="0"/>
        <v>129.26666666666665</v>
      </c>
    </row>
    <row r="59" spans="1:17" x14ac:dyDescent="0.25">
      <c r="A59" s="41">
        <v>1</v>
      </c>
      <c r="B59" s="41">
        <v>1485</v>
      </c>
      <c r="C59" s="250">
        <v>45793</v>
      </c>
      <c r="D59" s="41" t="s">
        <v>2479</v>
      </c>
      <c r="E59" s="41" t="s">
        <v>2577</v>
      </c>
      <c r="F59" s="41" t="s">
        <v>1717</v>
      </c>
      <c r="G59" s="41" t="s">
        <v>2193</v>
      </c>
      <c r="I59" s="41" t="s">
        <v>2578</v>
      </c>
      <c r="J59" s="41" t="s">
        <v>1182</v>
      </c>
      <c r="N59" s="41">
        <v>100</v>
      </c>
      <c r="O59" s="76">
        <f t="shared" si="0"/>
        <v>130.93333333333331</v>
      </c>
      <c r="P59" s="41">
        <v>40</v>
      </c>
    </row>
    <row r="60" spans="1:17" x14ac:dyDescent="0.25">
      <c r="A60" s="41">
        <v>1</v>
      </c>
      <c r="B60" s="41">
        <v>1486</v>
      </c>
      <c r="C60" s="250">
        <v>45794</v>
      </c>
      <c r="D60" s="41" t="s">
        <v>2479</v>
      </c>
      <c r="E60" s="41" t="s">
        <v>2577</v>
      </c>
      <c r="F60" s="41" t="s">
        <v>2500</v>
      </c>
      <c r="G60" s="41" t="s">
        <v>2193</v>
      </c>
      <c r="I60" s="41" t="s">
        <v>748</v>
      </c>
      <c r="J60" s="41" t="s">
        <v>1877</v>
      </c>
      <c r="N60" s="41">
        <v>46</v>
      </c>
      <c r="O60" s="76">
        <f t="shared" si="0"/>
        <v>131.69999999999999</v>
      </c>
    </row>
    <row r="61" spans="1:17" x14ac:dyDescent="0.25">
      <c r="A61" s="41">
        <v>1</v>
      </c>
      <c r="B61" s="41">
        <v>1487</v>
      </c>
      <c r="C61" s="250">
        <v>45794</v>
      </c>
      <c r="D61" s="41" t="s">
        <v>2479</v>
      </c>
      <c r="E61" s="41" t="s">
        <v>2577</v>
      </c>
      <c r="F61" s="41" t="s">
        <v>750</v>
      </c>
      <c r="G61" s="41" t="s">
        <v>2193</v>
      </c>
      <c r="I61" s="41" t="s">
        <v>750</v>
      </c>
      <c r="J61" s="41" t="s">
        <v>1877</v>
      </c>
      <c r="N61" s="41">
        <v>17</v>
      </c>
      <c r="O61" s="76">
        <f t="shared" si="0"/>
        <v>131.98333333333332</v>
      </c>
    </row>
    <row r="62" spans="1:17" x14ac:dyDescent="0.25">
      <c r="A62" s="41">
        <v>1</v>
      </c>
      <c r="B62" s="41">
        <v>1488</v>
      </c>
      <c r="C62" s="250">
        <v>45795</v>
      </c>
      <c r="D62" s="41" t="s">
        <v>2479</v>
      </c>
      <c r="E62" s="41" t="s">
        <v>2577</v>
      </c>
      <c r="F62" s="41" t="s">
        <v>2500</v>
      </c>
      <c r="G62" s="41" t="s">
        <v>2193</v>
      </c>
      <c r="I62" s="41" t="s">
        <v>2579</v>
      </c>
      <c r="J62" s="41" t="s">
        <v>1182</v>
      </c>
      <c r="N62" s="41">
        <v>77</v>
      </c>
      <c r="O62" s="76">
        <f t="shared" si="0"/>
        <v>133.26666666666665</v>
      </c>
      <c r="P62" s="41">
        <v>14</v>
      </c>
    </row>
    <row r="63" spans="1:17" x14ac:dyDescent="0.25">
      <c r="A63" s="41">
        <v>1</v>
      </c>
      <c r="B63" s="41">
        <v>1489</v>
      </c>
      <c r="C63" s="250">
        <v>45798</v>
      </c>
      <c r="D63" s="41" t="s">
        <v>2479</v>
      </c>
      <c r="E63" s="41" t="s">
        <v>532</v>
      </c>
      <c r="F63" s="41" t="s">
        <v>2442</v>
      </c>
      <c r="G63" s="41" t="s">
        <v>1830</v>
      </c>
      <c r="H63" s="41">
        <v>220</v>
      </c>
      <c r="I63" s="41" t="s">
        <v>2555</v>
      </c>
      <c r="J63" s="41" t="s">
        <v>1877</v>
      </c>
      <c r="N63" s="41">
        <v>7</v>
      </c>
      <c r="O63" s="76">
        <f t="shared" si="0"/>
        <v>133.38333333333333</v>
      </c>
    </row>
    <row r="64" spans="1:17" x14ac:dyDescent="0.25">
      <c r="A64" s="41">
        <v>1</v>
      </c>
      <c r="B64" s="41">
        <v>1490</v>
      </c>
      <c r="C64" s="250">
        <v>45801</v>
      </c>
      <c r="D64" s="41" t="s">
        <v>2479</v>
      </c>
      <c r="E64" s="41" t="s">
        <v>532</v>
      </c>
      <c r="F64" s="41" t="s">
        <v>2050</v>
      </c>
      <c r="G64" s="41" t="s">
        <v>2193</v>
      </c>
      <c r="I64" s="41" t="s">
        <v>1650</v>
      </c>
      <c r="J64" s="41" t="s">
        <v>1182</v>
      </c>
      <c r="N64" s="41">
        <v>170</v>
      </c>
      <c r="O64" s="76">
        <f t="shared" si="0"/>
        <v>136.21666666666667</v>
      </c>
      <c r="P64" s="41">
        <v>31</v>
      </c>
    </row>
    <row r="65" spans="1:17" hidden="1" x14ac:dyDescent="0.25">
      <c r="A65" s="41">
        <v>1</v>
      </c>
      <c r="B65" s="41">
        <v>1491</v>
      </c>
      <c r="C65" s="250">
        <v>45802</v>
      </c>
      <c r="D65" s="41" t="s">
        <v>2569</v>
      </c>
      <c r="E65" s="41" t="s">
        <v>532</v>
      </c>
      <c r="F65" s="41" t="s">
        <v>2050</v>
      </c>
      <c r="G65" s="41" t="s">
        <v>2193</v>
      </c>
      <c r="I65" s="41" t="s">
        <v>1650</v>
      </c>
      <c r="J65" s="41" t="s">
        <v>1877</v>
      </c>
      <c r="N65" s="41">
        <v>10</v>
      </c>
      <c r="O65" s="76">
        <f t="shared" si="0"/>
        <v>136.38333333333333</v>
      </c>
    </row>
    <row r="66" spans="1:17" hidden="1" x14ac:dyDescent="0.25">
      <c r="A66" s="41">
        <v>1</v>
      </c>
      <c r="B66" s="41">
        <v>1492</v>
      </c>
      <c r="C66" s="250">
        <v>45802</v>
      </c>
      <c r="D66" s="41" t="s">
        <v>2569</v>
      </c>
      <c r="E66" s="41" t="s">
        <v>532</v>
      </c>
      <c r="F66" s="41" t="s">
        <v>2050</v>
      </c>
      <c r="G66" s="41" t="s">
        <v>2193</v>
      </c>
      <c r="I66" s="41" t="s">
        <v>1650</v>
      </c>
      <c r="J66" s="41" t="s">
        <v>1877</v>
      </c>
      <c r="N66" s="41">
        <v>13</v>
      </c>
      <c r="O66" s="76">
        <f t="shared" si="0"/>
        <v>136.6</v>
      </c>
    </row>
    <row r="67" spans="1:17" hidden="1" x14ac:dyDescent="0.25">
      <c r="A67" s="41">
        <v>1</v>
      </c>
      <c r="B67" s="41">
        <v>1493</v>
      </c>
      <c r="C67" s="250">
        <v>45802</v>
      </c>
      <c r="D67" s="41" t="s">
        <v>2569</v>
      </c>
      <c r="E67" s="41" t="s">
        <v>532</v>
      </c>
      <c r="F67" s="41" t="s">
        <v>2050</v>
      </c>
      <c r="G67" s="41" t="s">
        <v>1830</v>
      </c>
      <c r="H67" s="41">
        <v>400</v>
      </c>
      <c r="I67" s="41" t="s">
        <v>1650</v>
      </c>
      <c r="J67" s="41" t="s">
        <v>1877</v>
      </c>
      <c r="N67" s="41">
        <v>14</v>
      </c>
      <c r="O67" s="76">
        <f t="shared" si="0"/>
        <v>136.83333333333331</v>
      </c>
    </row>
    <row r="68" spans="1:17" x14ac:dyDescent="0.25">
      <c r="A68" s="41">
        <v>1</v>
      </c>
      <c r="B68" s="41">
        <v>1494</v>
      </c>
      <c r="C68" s="250">
        <v>45806</v>
      </c>
      <c r="D68" s="41" t="s">
        <v>2479</v>
      </c>
      <c r="E68" s="41" t="s">
        <v>532</v>
      </c>
      <c r="F68" s="41" t="s">
        <v>1231</v>
      </c>
      <c r="G68" s="41" t="s">
        <v>2193</v>
      </c>
      <c r="I68" s="41" t="s">
        <v>1231</v>
      </c>
      <c r="J68" s="41" t="s">
        <v>1182</v>
      </c>
      <c r="L68" s="41">
        <v>2283</v>
      </c>
      <c r="M68" s="59">
        <v>0.5</v>
      </c>
      <c r="N68" s="41">
        <v>185</v>
      </c>
      <c r="O68" s="76">
        <f t="shared" ref="O68:O131" si="1">O67+N68/60</f>
        <v>139.91666666666666</v>
      </c>
      <c r="P68" s="41">
        <v>56</v>
      </c>
    </row>
    <row r="69" spans="1:17" x14ac:dyDescent="0.25">
      <c r="A69" s="41">
        <v>1</v>
      </c>
      <c r="B69" s="41">
        <v>1495</v>
      </c>
      <c r="C69" s="250">
        <v>45807</v>
      </c>
      <c r="D69" s="41" t="s">
        <v>2479</v>
      </c>
      <c r="E69" s="41" t="s">
        <v>532</v>
      </c>
      <c r="F69" s="41" t="s">
        <v>1231</v>
      </c>
      <c r="G69" s="41" t="s">
        <v>2193</v>
      </c>
      <c r="I69" s="41" t="s">
        <v>2580</v>
      </c>
      <c r="J69" s="41" t="s">
        <v>1182</v>
      </c>
      <c r="L69" s="41">
        <v>3134</v>
      </c>
      <c r="M69" s="59">
        <v>0.53611111111111109</v>
      </c>
      <c r="N69" s="41">
        <v>220</v>
      </c>
      <c r="O69" s="76">
        <f t="shared" si="1"/>
        <v>143.58333333333331</v>
      </c>
      <c r="P69" s="41">
        <v>60</v>
      </c>
      <c r="Q69" s="43" t="s">
        <v>2581</v>
      </c>
    </row>
    <row r="70" spans="1:17" x14ac:dyDescent="0.25">
      <c r="A70" s="41">
        <v>1</v>
      </c>
      <c r="B70" s="41">
        <v>1496</v>
      </c>
      <c r="C70" s="250">
        <v>45808</v>
      </c>
      <c r="D70" s="41" t="s">
        <v>2479</v>
      </c>
      <c r="E70" s="41" t="s">
        <v>532</v>
      </c>
      <c r="F70" s="41" t="s">
        <v>2050</v>
      </c>
      <c r="G70" s="41" t="s">
        <v>2193</v>
      </c>
      <c r="I70" s="41" t="s">
        <v>1650</v>
      </c>
      <c r="J70" s="41" t="s">
        <v>1182</v>
      </c>
      <c r="L70" s="41">
        <v>1743</v>
      </c>
      <c r="M70" s="59">
        <v>0.62916666666666665</v>
      </c>
      <c r="N70" s="41">
        <v>173</v>
      </c>
      <c r="O70" s="76">
        <f t="shared" si="1"/>
        <v>146.46666666666664</v>
      </c>
      <c r="Q70" s="43" t="s">
        <v>2582</v>
      </c>
    </row>
    <row r="71" spans="1:17" ht="21" x14ac:dyDescent="0.25">
      <c r="A71" s="41">
        <v>1</v>
      </c>
      <c r="B71" s="41">
        <v>1497</v>
      </c>
      <c r="C71" s="250">
        <v>45813</v>
      </c>
      <c r="D71" s="41" t="s">
        <v>2479</v>
      </c>
      <c r="E71" s="41" t="s">
        <v>532</v>
      </c>
      <c r="F71" s="41" t="s">
        <v>2583</v>
      </c>
      <c r="G71" s="41" t="s">
        <v>1830</v>
      </c>
      <c r="H71" s="41">
        <v>440</v>
      </c>
      <c r="I71" s="41" t="s">
        <v>2583</v>
      </c>
      <c r="J71" s="41" t="s">
        <v>1877</v>
      </c>
      <c r="M71" s="59">
        <v>0.58680555555555558</v>
      </c>
      <c r="N71" s="41">
        <v>11</v>
      </c>
      <c r="O71" s="76">
        <f t="shared" si="1"/>
        <v>146.64999999999998</v>
      </c>
      <c r="Q71" s="43" t="s">
        <v>2584</v>
      </c>
    </row>
    <row r="72" spans="1:17" ht="21" x14ac:dyDescent="0.25">
      <c r="A72" s="41">
        <v>1</v>
      </c>
      <c r="B72" s="41">
        <v>1498</v>
      </c>
      <c r="C72" s="250">
        <v>45814</v>
      </c>
      <c r="D72" s="41" t="s">
        <v>2479</v>
      </c>
      <c r="E72" s="41" t="s">
        <v>2585</v>
      </c>
      <c r="F72" s="41" t="s">
        <v>2586</v>
      </c>
      <c r="G72" s="41" t="s">
        <v>2193</v>
      </c>
      <c r="I72" s="41" t="s">
        <v>2587</v>
      </c>
      <c r="J72" s="41" t="s">
        <v>1182</v>
      </c>
      <c r="M72" s="59">
        <v>0.54166666666666663</v>
      </c>
      <c r="N72" s="41">
        <v>145</v>
      </c>
      <c r="O72" s="76">
        <f t="shared" si="1"/>
        <v>149.06666666666663</v>
      </c>
      <c r="P72" s="41">
        <v>36</v>
      </c>
      <c r="Q72" s="43" t="s">
        <v>2588</v>
      </c>
    </row>
    <row r="73" spans="1:17" ht="21" x14ac:dyDescent="0.25">
      <c r="A73" s="41">
        <v>1</v>
      </c>
      <c r="B73" s="41">
        <v>1499</v>
      </c>
      <c r="C73" s="250">
        <v>45815</v>
      </c>
      <c r="D73" s="41" t="s">
        <v>2479</v>
      </c>
      <c r="E73" s="41" t="s">
        <v>2585</v>
      </c>
      <c r="F73" s="41" t="s">
        <v>2589</v>
      </c>
      <c r="G73" s="41" t="s">
        <v>2193</v>
      </c>
      <c r="I73" s="41" t="s">
        <v>2590</v>
      </c>
      <c r="J73" s="41" t="s">
        <v>2447</v>
      </c>
      <c r="L73" s="41">
        <v>1100</v>
      </c>
      <c r="M73" s="59">
        <v>0.57847222222222217</v>
      </c>
      <c r="N73" s="41">
        <v>113</v>
      </c>
      <c r="O73" s="76">
        <f t="shared" si="1"/>
        <v>150.94999999999996</v>
      </c>
      <c r="P73" s="41">
        <v>30</v>
      </c>
      <c r="Q73" s="43" t="s">
        <v>2591</v>
      </c>
    </row>
    <row r="74" spans="1:17" x14ac:dyDescent="0.25">
      <c r="A74" s="41">
        <v>1</v>
      </c>
      <c r="B74" s="41">
        <v>1500</v>
      </c>
      <c r="C74" s="250">
        <v>45816</v>
      </c>
      <c r="D74" s="41" t="s">
        <v>2479</v>
      </c>
      <c r="E74" s="41" t="s">
        <v>2585</v>
      </c>
      <c r="F74" s="41" t="s">
        <v>2592</v>
      </c>
      <c r="G74" s="41" t="s">
        <v>2193</v>
      </c>
      <c r="I74" s="41" t="s">
        <v>2592</v>
      </c>
      <c r="J74" s="41" t="s">
        <v>2447</v>
      </c>
      <c r="N74" s="41">
        <v>5</v>
      </c>
      <c r="O74" s="76">
        <f t="shared" si="1"/>
        <v>151.0333333333333</v>
      </c>
      <c r="Q74" s="43" t="s">
        <v>2593</v>
      </c>
    </row>
    <row r="75" spans="1:17" ht="21" x14ac:dyDescent="0.25">
      <c r="A75" s="41">
        <v>1</v>
      </c>
      <c r="B75" s="41">
        <v>1501</v>
      </c>
      <c r="C75" s="250">
        <v>45816</v>
      </c>
      <c r="D75" s="41" t="s">
        <v>2479</v>
      </c>
      <c r="E75" s="41" t="s">
        <v>2585</v>
      </c>
      <c r="F75" s="41" t="s">
        <v>2592</v>
      </c>
      <c r="G75" s="41" t="s">
        <v>2193</v>
      </c>
      <c r="I75" s="41" t="s">
        <v>2594</v>
      </c>
      <c r="M75" s="59">
        <v>0.52777777777777779</v>
      </c>
      <c r="N75" s="41">
        <v>50</v>
      </c>
      <c r="O75" s="76">
        <f t="shared" si="1"/>
        <v>151.86666666666665</v>
      </c>
      <c r="Q75" s="43" t="s">
        <v>2595</v>
      </c>
    </row>
    <row r="76" spans="1:17" ht="31.2" x14ac:dyDescent="0.25">
      <c r="A76" s="41">
        <v>1</v>
      </c>
      <c r="B76" s="41">
        <v>1502</v>
      </c>
      <c r="C76" s="250">
        <v>45819</v>
      </c>
      <c r="D76" s="41" t="s">
        <v>2479</v>
      </c>
      <c r="E76" s="41" t="s">
        <v>2596</v>
      </c>
      <c r="F76" s="41" t="s">
        <v>2597</v>
      </c>
      <c r="G76" s="41" t="s">
        <v>1830</v>
      </c>
      <c r="H76" s="41">
        <v>400</v>
      </c>
      <c r="I76" s="41" t="s">
        <v>2598</v>
      </c>
      <c r="J76" s="41" t="s">
        <v>1182</v>
      </c>
      <c r="L76" s="41">
        <v>1600</v>
      </c>
      <c r="M76" s="59">
        <v>0.52777777777777779</v>
      </c>
      <c r="N76" s="41">
        <v>70</v>
      </c>
      <c r="O76" s="76">
        <f t="shared" si="1"/>
        <v>153.0333333333333</v>
      </c>
      <c r="Q76" s="43" t="s">
        <v>2599</v>
      </c>
    </row>
    <row r="77" spans="1:17" ht="31.2" x14ac:dyDescent="0.25">
      <c r="A77" s="41">
        <v>1</v>
      </c>
      <c r="B77" s="41">
        <v>1503</v>
      </c>
      <c r="C77" s="250">
        <v>45820</v>
      </c>
      <c r="D77" s="41" t="s">
        <v>2479</v>
      </c>
      <c r="E77" s="41" t="s">
        <v>2596</v>
      </c>
      <c r="F77" s="41" t="s">
        <v>2600</v>
      </c>
      <c r="G77" s="41" t="s">
        <v>2193</v>
      </c>
      <c r="I77" s="41" t="s">
        <v>2600</v>
      </c>
      <c r="J77" s="41" t="s">
        <v>1182</v>
      </c>
      <c r="L77" s="41">
        <v>3457</v>
      </c>
      <c r="M77" s="59">
        <v>0.4680555555555555</v>
      </c>
      <c r="N77" s="41">
        <v>297</v>
      </c>
      <c r="O77" s="76">
        <f t="shared" si="1"/>
        <v>157.98333333333329</v>
      </c>
      <c r="P77" s="41">
        <v>108</v>
      </c>
      <c r="Q77" s="43" t="s">
        <v>2601</v>
      </c>
    </row>
    <row r="78" spans="1:17" ht="51.6" x14ac:dyDescent="0.25">
      <c r="A78" s="41">
        <v>1</v>
      </c>
      <c r="B78" s="41">
        <v>1504</v>
      </c>
      <c r="C78" s="250">
        <v>45822</v>
      </c>
      <c r="D78" s="41" t="s">
        <v>2479</v>
      </c>
      <c r="E78" s="41" t="s">
        <v>2596</v>
      </c>
      <c r="F78" s="41" t="s">
        <v>2600</v>
      </c>
      <c r="G78" s="41" t="s">
        <v>2193</v>
      </c>
      <c r="I78" s="41" t="s">
        <v>2600</v>
      </c>
      <c r="J78" s="41" t="s">
        <v>1877</v>
      </c>
      <c r="L78" s="41">
        <v>3000</v>
      </c>
      <c r="M78" s="59">
        <v>0.54166666666666663</v>
      </c>
      <c r="N78" s="41">
        <v>91</v>
      </c>
      <c r="O78" s="76">
        <f t="shared" si="1"/>
        <v>159.49999999999997</v>
      </c>
      <c r="Q78" s="43" t="s">
        <v>2602</v>
      </c>
    </row>
    <row r="79" spans="1:17" ht="31.2" x14ac:dyDescent="0.25">
      <c r="A79" s="41">
        <v>1</v>
      </c>
      <c r="B79" s="41">
        <v>1505</v>
      </c>
      <c r="C79" s="250">
        <v>45824</v>
      </c>
      <c r="D79" s="41" t="s">
        <v>2479</v>
      </c>
      <c r="E79" s="41" t="s">
        <v>2596</v>
      </c>
      <c r="F79" s="41" t="s">
        <v>2603</v>
      </c>
      <c r="G79" s="41" t="s">
        <v>1830</v>
      </c>
      <c r="H79" s="41">
        <v>250</v>
      </c>
      <c r="I79" s="41" t="s">
        <v>2603</v>
      </c>
      <c r="J79" s="41" t="s">
        <v>1877</v>
      </c>
      <c r="L79" s="41">
        <v>4087</v>
      </c>
      <c r="M79" s="59">
        <v>0.4680555555555555</v>
      </c>
      <c r="N79" s="41">
        <v>168</v>
      </c>
      <c r="O79" s="76">
        <f t="shared" si="1"/>
        <v>162.29999999999998</v>
      </c>
      <c r="Q79" s="43" t="s">
        <v>2604</v>
      </c>
    </row>
    <row r="80" spans="1:17" ht="21" x14ac:dyDescent="0.25">
      <c r="A80" s="41">
        <v>1</v>
      </c>
      <c r="B80" s="41">
        <v>1506</v>
      </c>
      <c r="C80" s="250">
        <v>45826</v>
      </c>
      <c r="D80" s="41" t="s">
        <v>2479</v>
      </c>
      <c r="E80" s="41" t="s">
        <v>2596</v>
      </c>
      <c r="F80" s="41" t="s">
        <v>2605</v>
      </c>
      <c r="G80" s="41" t="s">
        <v>1830</v>
      </c>
      <c r="H80" s="41">
        <v>550</v>
      </c>
      <c r="I80" s="41" t="s">
        <v>2605</v>
      </c>
      <c r="J80" s="41" t="s">
        <v>1877</v>
      </c>
      <c r="N80" s="41">
        <v>11</v>
      </c>
      <c r="O80" s="76">
        <f t="shared" si="1"/>
        <v>162.48333333333332</v>
      </c>
      <c r="Q80" s="43" t="s">
        <v>2606</v>
      </c>
    </row>
    <row r="81" spans="1:17" ht="31.2" x14ac:dyDescent="0.25">
      <c r="A81" s="41">
        <v>1</v>
      </c>
      <c r="B81" s="41">
        <v>1507</v>
      </c>
      <c r="C81" s="250">
        <v>45827</v>
      </c>
      <c r="D81" s="41" t="s">
        <v>2479</v>
      </c>
      <c r="E81" s="41" t="s">
        <v>2596</v>
      </c>
      <c r="F81" s="41" t="s">
        <v>2607</v>
      </c>
      <c r="G81" s="41" t="s">
        <v>1830</v>
      </c>
      <c r="H81" s="41">
        <v>600</v>
      </c>
      <c r="I81" s="41" t="s">
        <v>2608</v>
      </c>
      <c r="J81" s="41" t="s">
        <v>1182</v>
      </c>
      <c r="L81" s="41">
        <v>3621</v>
      </c>
      <c r="M81" s="59">
        <v>0.48333333333333334</v>
      </c>
      <c r="N81" s="41">
        <v>269</v>
      </c>
      <c r="O81" s="76">
        <f t="shared" si="1"/>
        <v>166.96666666666664</v>
      </c>
      <c r="P81" s="41">
        <v>62</v>
      </c>
      <c r="Q81" s="43" t="s">
        <v>2609</v>
      </c>
    </row>
    <row r="82" spans="1:17" ht="21" x14ac:dyDescent="0.25">
      <c r="A82" s="41">
        <v>1</v>
      </c>
      <c r="B82" s="41">
        <v>1508</v>
      </c>
      <c r="C82" s="250">
        <v>45828</v>
      </c>
      <c r="D82" s="41" t="s">
        <v>2479</v>
      </c>
      <c r="E82" s="41" t="s">
        <v>2596</v>
      </c>
      <c r="F82" s="41" t="s">
        <v>2607</v>
      </c>
      <c r="G82" s="41" t="s">
        <v>1830</v>
      </c>
      <c r="H82" s="41">
        <v>600</v>
      </c>
      <c r="I82" s="41" t="s">
        <v>2608</v>
      </c>
      <c r="J82" s="41" t="s">
        <v>1877</v>
      </c>
      <c r="N82" s="41">
        <v>20</v>
      </c>
      <c r="O82" s="76">
        <f t="shared" si="1"/>
        <v>167.29999999999998</v>
      </c>
      <c r="Q82" s="43" t="s">
        <v>2610</v>
      </c>
    </row>
    <row r="83" spans="1:17" x14ac:dyDescent="0.25">
      <c r="A83" s="41">
        <v>1</v>
      </c>
      <c r="B83" s="41">
        <v>1509</v>
      </c>
      <c r="C83" s="250">
        <v>45829</v>
      </c>
      <c r="D83" s="41" t="s">
        <v>2479</v>
      </c>
      <c r="E83" s="41" t="s">
        <v>2611</v>
      </c>
      <c r="F83" s="41" t="s">
        <v>1440</v>
      </c>
      <c r="G83" s="41" t="s">
        <v>2193</v>
      </c>
      <c r="I83" s="41" t="s">
        <v>748</v>
      </c>
      <c r="J83" s="41" t="s">
        <v>1877</v>
      </c>
      <c r="N83" s="41">
        <v>7</v>
      </c>
      <c r="O83" s="76">
        <f t="shared" si="1"/>
        <v>167.41666666666666</v>
      </c>
      <c r="Q83" s="43" t="s">
        <v>2612</v>
      </c>
    </row>
    <row r="84" spans="1:17" ht="21" x14ac:dyDescent="0.25">
      <c r="A84" s="41">
        <v>1</v>
      </c>
      <c r="B84" s="41">
        <v>1510</v>
      </c>
      <c r="C84" s="250">
        <v>45829</v>
      </c>
      <c r="D84" s="41" t="s">
        <v>2479</v>
      </c>
      <c r="E84" s="41" t="s">
        <v>2611</v>
      </c>
      <c r="F84" s="41" t="s">
        <v>1440</v>
      </c>
      <c r="G84" s="41" t="s">
        <v>2193</v>
      </c>
      <c r="I84" s="41" t="s">
        <v>2613</v>
      </c>
      <c r="J84" s="41" t="s">
        <v>1182</v>
      </c>
      <c r="L84" s="41">
        <v>3166</v>
      </c>
      <c r="M84" s="59">
        <v>0.5854166666666667</v>
      </c>
      <c r="N84" s="41">
        <v>315</v>
      </c>
      <c r="O84" s="76">
        <f t="shared" si="1"/>
        <v>172.66666666666666</v>
      </c>
      <c r="P84" s="41">
        <v>96</v>
      </c>
      <c r="Q84" s="43" t="s">
        <v>2614</v>
      </c>
    </row>
    <row r="85" spans="1:17" ht="21" x14ac:dyDescent="0.25">
      <c r="A85" s="41">
        <v>1</v>
      </c>
      <c r="B85" s="41">
        <v>1511</v>
      </c>
      <c r="C85" s="250">
        <v>45830</v>
      </c>
      <c r="D85" s="41" t="s">
        <v>2479</v>
      </c>
      <c r="E85" s="41" t="s">
        <v>2611</v>
      </c>
      <c r="F85" s="41" t="s">
        <v>1440</v>
      </c>
      <c r="G85" s="41" t="s">
        <v>1830</v>
      </c>
      <c r="H85" s="41">
        <v>550</v>
      </c>
      <c r="I85" s="41" t="s">
        <v>748</v>
      </c>
      <c r="J85" s="41" t="s">
        <v>1182</v>
      </c>
      <c r="L85" s="41">
        <v>1900</v>
      </c>
      <c r="M85" s="59">
        <v>0.60416666666666663</v>
      </c>
      <c r="N85" s="41">
        <v>130</v>
      </c>
      <c r="O85" s="76">
        <f t="shared" si="1"/>
        <v>174.83333333333331</v>
      </c>
      <c r="P85" s="41">
        <v>25</v>
      </c>
      <c r="Q85" s="43" t="s">
        <v>2615</v>
      </c>
    </row>
    <row r="86" spans="1:17" x14ac:dyDescent="0.25">
      <c r="A86" s="41">
        <v>1</v>
      </c>
      <c r="B86" s="41">
        <v>1512</v>
      </c>
      <c r="C86" s="250">
        <v>45835</v>
      </c>
      <c r="D86" s="41" t="s">
        <v>2479</v>
      </c>
      <c r="E86" s="41" t="s">
        <v>532</v>
      </c>
      <c r="F86" s="41" t="s">
        <v>2050</v>
      </c>
      <c r="G86" s="41" t="s">
        <v>2193</v>
      </c>
      <c r="I86" s="41" t="s">
        <v>1650</v>
      </c>
      <c r="J86" s="41" t="s">
        <v>1877</v>
      </c>
      <c r="N86" s="41">
        <v>89</v>
      </c>
      <c r="O86" s="76">
        <f t="shared" si="1"/>
        <v>176.31666666666663</v>
      </c>
    </row>
    <row r="87" spans="1:17" x14ac:dyDescent="0.25">
      <c r="A87" s="41">
        <v>1</v>
      </c>
      <c r="B87" s="41">
        <v>1513</v>
      </c>
      <c r="C87" s="250">
        <v>45836</v>
      </c>
      <c r="D87" s="41" t="s">
        <v>2479</v>
      </c>
      <c r="E87" s="41" t="s">
        <v>532</v>
      </c>
      <c r="F87" s="41" t="s">
        <v>2050</v>
      </c>
      <c r="G87" s="41" t="s">
        <v>2193</v>
      </c>
      <c r="I87" s="41" t="s">
        <v>1650</v>
      </c>
      <c r="J87" s="41" t="s">
        <v>1182</v>
      </c>
      <c r="L87" s="41">
        <v>2041</v>
      </c>
      <c r="M87" s="59">
        <v>0.53888888888888886</v>
      </c>
      <c r="N87" s="41">
        <v>267</v>
      </c>
      <c r="O87" s="76">
        <f t="shared" si="1"/>
        <v>180.76666666666662</v>
      </c>
      <c r="P87" s="41">
        <v>65</v>
      </c>
      <c r="Q87" s="43" t="s">
        <v>2618</v>
      </c>
    </row>
    <row r="88" spans="1:17" ht="31.2" x14ac:dyDescent="0.25">
      <c r="A88" s="41">
        <v>1</v>
      </c>
      <c r="B88" s="41">
        <v>1514</v>
      </c>
      <c r="C88" s="250">
        <v>45837</v>
      </c>
      <c r="D88" s="41" t="s">
        <v>2479</v>
      </c>
      <c r="E88" s="41" t="s">
        <v>532</v>
      </c>
      <c r="F88" s="41" t="s">
        <v>2050</v>
      </c>
      <c r="G88" s="41" t="s">
        <v>2193</v>
      </c>
      <c r="I88" s="41" t="s">
        <v>1650</v>
      </c>
      <c r="J88" s="41" t="s">
        <v>1182</v>
      </c>
      <c r="L88" s="41">
        <v>2280</v>
      </c>
      <c r="M88" s="59">
        <v>0.52152777777777781</v>
      </c>
      <c r="N88" s="41">
        <v>448</v>
      </c>
      <c r="O88" s="76">
        <f t="shared" si="1"/>
        <v>188.23333333333329</v>
      </c>
      <c r="P88" s="41">
        <v>90</v>
      </c>
      <c r="Q88" s="43" t="s">
        <v>2619</v>
      </c>
    </row>
    <row r="89" spans="1:17" ht="21" x14ac:dyDescent="0.25">
      <c r="A89" s="41">
        <v>1</v>
      </c>
      <c r="B89" s="41">
        <v>1515</v>
      </c>
      <c r="C89" s="250">
        <v>45838</v>
      </c>
      <c r="D89" s="41" t="s">
        <v>2479</v>
      </c>
      <c r="E89" s="41" t="s">
        <v>532</v>
      </c>
      <c r="F89" s="41" t="s">
        <v>2050</v>
      </c>
      <c r="G89" s="41" t="s">
        <v>2193</v>
      </c>
      <c r="I89" s="41" t="s">
        <v>1650</v>
      </c>
      <c r="J89" s="41" t="s">
        <v>1182</v>
      </c>
      <c r="L89" s="41">
        <v>2378</v>
      </c>
      <c r="M89" s="59">
        <v>0.50694444444444442</v>
      </c>
      <c r="N89" s="41">
        <v>242</v>
      </c>
      <c r="O89" s="76">
        <f t="shared" si="1"/>
        <v>192.26666666666662</v>
      </c>
      <c r="P89" s="41">
        <v>45</v>
      </c>
      <c r="Q89" s="43" t="s">
        <v>2620</v>
      </c>
    </row>
    <row r="90" spans="1:17" ht="31.2" x14ac:dyDescent="0.25">
      <c r="A90" s="41">
        <v>1</v>
      </c>
      <c r="B90" s="41">
        <v>1516</v>
      </c>
      <c r="C90" s="250">
        <v>45839</v>
      </c>
      <c r="D90" s="41" t="s">
        <v>2479</v>
      </c>
      <c r="E90" s="41" t="s">
        <v>532</v>
      </c>
      <c r="F90" s="41" t="s">
        <v>2050</v>
      </c>
      <c r="G90" s="41" t="s">
        <v>2193</v>
      </c>
      <c r="I90" s="41" t="s">
        <v>1650</v>
      </c>
      <c r="J90" s="41" t="s">
        <v>1182</v>
      </c>
      <c r="L90" s="41">
        <v>2472</v>
      </c>
      <c r="M90" s="59">
        <v>0.53749999999999998</v>
      </c>
      <c r="N90" s="41">
        <v>147</v>
      </c>
      <c r="O90" s="76">
        <f t="shared" si="1"/>
        <v>194.71666666666661</v>
      </c>
      <c r="P90" s="41">
        <v>27</v>
      </c>
      <c r="Q90" s="43" t="s">
        <v>2621</v>
      </c>
    </row>
    <row r="91" spans="1:17" x14ac:dyDescent="0.25">
      <c r="A91" s="41">
        <v>1</v>
      </c>
      <c r="B91" s="41">
        <v>1517</v>
      </c>
      <c r="C91" s="250">
        <v>45842</v>
      </c>
      <c r="D91" s="41" t="s">
        <v>2479</v>
      </c>
      <c r="E91" s="41" t="s">
        <v>532</v>
      </c>
      <c r="F91" s="41" t="s">
        <v>2050</v>
      </c>
      <c r="G91" s="41" t="s">
        <v>2193</v>
      </c>
      <c r="I91" s="41" t="s">
        <v>1650</v>
      </c>
      <c r="J91" s="41" t="s">
        <v>1877</v>
      </c>
      <c r="M91" s="59">
        <v>0.53194444444444444</v>
      </c>
      <c r="N91" s="41">
        <v>44</v>
      </c>
      <c r="O91" s="76">
        <f t="shared" si="1"/>
        <v>195.44999999999993</v>
      </c>
    </row>
    <row r="92" spans="1:17" x14ac:dyDescent="0.25">
      <c r="A92" s="41">
        <v>1</v>
      </c>
      <c r="B92" s="41">
        <v>1518</v>
      </c>
      <c r="C92" s="250">
        <v>45849</v>
      </c>
      <c r="D92" s="41" t="s">
        <v>2479</v>
      </c>
      <c r="E92" s="41" t="s">
        <v>532</v>
      </c>
      <c r="F92" s="41" t="s">
        <v>2050</v>
      </c>
      <c r="G92" s="41" t="s">
        <v>2193</v>
      </c>
      <c r="I92" s="41" t="s">
        <v>1650</v>
      </c>
      <c r="J92" s="41" t="s">
        <v>1182</v>
      </c>
      <c r="L92" s="41">
        <v>2160</v>
      </c>
      <c r="M92" s="59">
        <v>0.51111111111111118</v>
      </c>
      <c r="N92" s="41">
        <v>174</v>
      </c>
      <c r="O92" s="76">
        <f t="shared" si="1"/>
        <v>198.34999999999994</v>
      </c>
    </row>
    <row r="93" spans="1:17" x14ac:dyDescent="0.25">
      <c r="A93" s="41">
        <v>1</v>
      </c>
      <c r="B93" s="41">
        <v>1519</v>
      </c>
      <c r="C93" s="250">
        <v>45851</v>
      </c>
      <c r="D93" s="41" t="s">
        <v>2479</v>
      </c>
      <c r="E93" s="41" t="s">
        <v>532</v>
      </c>
      <c r="F93" s="41" t="s">
        <v>2050</v>
      </c>
      <c r="G93" s="41" t="s">
        <v>2193</v>
      </c>
      <c r="I93" s="41" t="s">
        <v>1650</v>
      </c>
      <c r="J93" s="41" t="s">
        <v>1877</v>
      </c>
      <c r="M93" s="59">
        <v>0.4069444444444445</v>
      </c>
      <c r="N93" s="41">
        <v>16</v>
      </c>
      <c r="O93" s="76">
        <f t="shared" si="1"/>
        <v>198.61666666666662</v>
      </c>
      <c r="Q93" s="43" t="s">
        <v>2622</v>
      </c>
    </row>
    <row r="94" spans="1:17" x14ac:dyDescent="0.25">
      <c r="A94" s="41">
        <v>1</v>
      </c>
      <c r="B94" s="41">
        <v>1520</v>
      </c>
      <c r="C94" s="250">
        <v>45851</v>
      </c>
      <c r="D94" s="41" t="s">
        <v>2479</v>
      </c>
      <c r="E94" s="41" t="s">
        <v>532</v>
      </c>
      <c r="F94" s="41" t="s">
        <v>2050</v>
      </c>
      <c r="G94" s="41" t="s">
        <v>2193</v>
      </c>
      <c r="I94" s="41" t="s">
        <v>1650</v>
      </c>
      <c r="M94" s="59">
        <v>0.4597222222222222</v>
      </c>
      <c r="N94" s="41">
        <v>60</v>
      </c>
      <c r="O94" s="76">
        <f t="shared" si="1"/>
        <v>199.61666666666662</v>
      </c>
      <c r="Q94" s="43" t="s">
        <v>2623</v>
      </c>
    </row>
    <row r="95" spans="1:17" x14ac:dyDescent="0.25">
      <c r="A95" s="41">
        <v>1</v>
      </c>
      <c r="B95" s="41">
        <v>1521</v>
      </c>
      <c r="C95" s="250">
        <v>45851</v>
      </c>
      <c r="D95" s="41" t="s">
        <v>2479</v>
      </c>
      <c r="E95" s="41" t="s">
        <v>532</v>
      </c>
      <c r="F95" s="41" t="s">
        <v>2050</v>
      </c>
      <c r="G95" s="41" t="s">
        <v>2193</v>
      </c>
      <c r="I95" s="41" t="s">
        <v>1650</v>
      </c>
      <c r="L95" s="41">
        <v>1628</v>
      </c>
      <c r="M95" s="59">
        <v>0.56458333333333333</v>
      </c>
      <c r="N95" s="41">
        <v>110</v>
      </c>
      <c r="O95" s="76">
        <f t="shared" si="1"/>
        <v>201.44999999999996</v>
      </c>
      <c r="Q95" s="43" t="s">
        <v>2624</v>
      </c>
    </row>
    <row r="96" spans="1:17" ht="21" x14ac:dyDescent="0.25">
      <c r="A96" s="41">
        <v>1</v>
      </c>
      <c r="B96" s="41">
        <v>1522</v>
      </c>
      <c r="C96" s="250">
        <v>45854</v>
      </c>
      <c r="D96" s="41" t="s">
        <v>2479</v>
      </c>
      <c r="E96" s="41" t="s">
        <v>532</v>
      </c>
      <c r="F96" s="41" t="s">
        <v>2050</v>
      </c>
      <c r="G96" s="41" t="s">
        <v>2193</v>
      </c>
      <c r="I96" s="41" t="s">
        <v>1650</v>
      </c>
      <c r="J96" s="41" t="s">
        <v>1877</v>
      </c>
      <c r="N96" s="41">
        <v>117</v>
      </c>
      <c r="O96" s="76">
        <f t="shared" si="1"/>
        <v>203.39999999999995</v>
      </c>
      <c r="Q96" s="43" t="s">
        <v>2626</v>
      </c>
    </row>
    <row r="97" spans="1:17" x14ac:dyDescent="0.25">
      <c r="A97" s="41">
        <v>1</v>
      </c>
      <c r="B97" s="41">
        <v>1523</v>
      </c>
      <c r="C97" s="250">
        <v>45855</v>
      </c>
      <c r="D97" s="41" t="s">
        <v>2479</v>
      </c>
      <c r="E97" s="41" t="s">
        <v>532</v>
      </c>
      <c r="F97" s="41" t="s">
        <v>2050</v>
      </c>
      <c r="G97" s="41" t="s">
        <v>2193</v>
      </c>
      <c r="I97" s="41" t="s">
        <v>1650</v>
      </c>
      <c r="J97" s="41" t="s">
        <v>1877</v>
      </c>
      <c r="N97" s="41">
        <v>100</v>
      </c>
      <c r="O97" s="76">
        <f t="shared" si="1"/>
        <v>205.06666666666661</v>
      </c>
    </row>
    <row r="98" spans="1:17" ht="21" x14ac:dyDescent="0.25">
      <c r="A98" s="41">
        <v>1</v>
      </c>
      <c r="B98" s="41">
        <v>1524</v>
      </c>
      <c r="C98" s="250">
        <v>45860</v>
      </c>
      <c r="D98" s="41" t="s">
        <v>2479</v>
      </c>
      <c r="E98" s="41" t="s">
        <v>532</v>
      </c>
      <c r="F98" s="41" t="s">
        <v>2050</v>
      </c>
      <c r="G98" s="41" t="s">
        <v>1830</v>
      </c>
      <c r="H98" s="41">
        <v>700</v>
      </c>
      <c r="I98" s="41" t="s">
        <v>2627</v>
      </c>
      <c r="J98" s="41" t="s">
        <v>1182</v>
      </c>
      <c r="L98" s="41">
        <v>1530</v>
      </c>
      <c r="M98" s="59">
        <v>0.47916666666666669</v>
      </c>
      <c r="N98" s="41">
        <v>45</v>
      </c>
      <c r="O98" s="76">
        <f t="shared" si="1"/>
        <v>205.81666666666661</v>
      </c>
      <c r="Q98" s="43" t="s">
        <v>2628</v>
      </c>
    </row>
    <row r="99" spans="1:17" x14ac:dyDescent="0.25">
      <c r="A99" s="41">
        <v>2</v>
      </c>
      <c r="B99" s="41">
        <v>1525</v>
      </c>
      <c r="C99" s="250">
        <v>45871</v>
      </c>
      <c r="D99" s="41" t="s">
        <v>2479</v>
      </c>
      <c r="E99" s="41" t="s">
        <v>532</v>
      </c>
      <c r="F99" s="41" t="s">
        <v>2442</v>
      </c>
      <c r="G99" s="41" t="s">
        <v>1830</v>
      </c>
      <c r="H99" s="41">
        <v>440</v>
      </c>
      <c r="I99" s="41" t="s">
        <v>2555</v>
      </c>
      <c r="J99" s="41" t="s">
        <v>1877</v>
      </c>
      <c r="N99" s="41">
        <v>38</v>
      </c>
      <c r="O99" s="76">
        <f t="shared" si="1"/>
        <v>206.44999999999993</v>
      </c>
      <c r="Q99" s="43" t="s">
        <v>2629</v>
      </c>
    </row>
    <row r="100" spans="1:17" ht="21" x14ac:dyDescent="0.25">
      <c r="A100" s="41">
        <v>1</v>
      </c>
      <c r="B100" s="41">
        <v>1526</v>
      </c>
      <c r="C100" s="250">
        <v>45872</v>
      </c>
      <c r="D100" s="41" t="s">
        <v>2479</v>
      </c>
      <c r="E100" s="41" t="s">
        <v>532</v>
      </c>
      <c r="F100" s="41" t="s">
        <v>2050</v>
      </c>
      <c r="G100" s="41" t="s">
        <v>2193</v>
      </c>
      <c r="I100" s="41" t="s">
        <v>1650</v>
      </c>
      <c r="J100" s="41" t="s">
        <v>1182</v>
      </c>
      <c r="L100" s="41">
        <v>1844</v>
      </c>
      <c r="M100" s="59">
        <v>0.53472222222222221</v>
      </c>
      <c r="N100" s="41">
        <v>160</v>
      </c>
      <c r="O100" s="76">
        <f t="shared" si="1"/>
        <v>209.11666666666659</v>
      </c>
      <c r="Q100" s="43" t="s">
        <v>2630</v>
      </c>
    </row>
    <row r="101" spans="1:17" x14ac:dyDescent="0.25">
      <c r="A101" s="41">
        <v>1</v>
      </c>
      <c r="B101" s="41">
        <v>1527</v>
      </c>
      <c r="C101" s="250">
        <v>45873</v>
      </c>
      <c r="D101" s="41" t="s">
        <v>2479</v>
      </c>
      <c r="E101" s="41" t="s">
        <v>532</v>
      </c>
      <c r="F101" s="41" t="s">
        <v>2050</v>
      </c>
      <c r="G101" s="41" t="s">
        <v>2193</v>
      </c>
      <c r="I101" s="41" t="s">
        <v>1650</v>
      </c>
      <c r="J101" s="41" t="s">
        <v>1877</v>
      </c>
      <c r="N101" s="41">
        <v>103</v>
      </c>
      <c r="O101" s="76">
        <f t="shared" si="1"/>
        <v>210.83333333333326</v>
      </c>
    </row>
    <row r="102" spans="1:17" x14ac:dyDescent="0.25">
      <c r="A102" s="41">
        <v>1</v>
      </c>
      <c r="B102" s="41">
        <v>1528</v>
      </c>
      <c r="C102" s="250">
        <v>45875</v>
      </c>
      <c r="D102" s="41" t="s">
        <v>2479</v>
      </c>
      <c r="E102" s="41" t="s">
        <v>532</v>
      </c>
      <c r="F102" s="41" t="s">
        <v>2050</v>
      </c>
      <c r="G102" s="41" t="s">
        <v>2193</v>
      </c>
      <c r="I102" s="41" t="s">
        <v>1650</v>
      </c>
      <c r="J102" s="41" t="s">
        <v>1877</v>
      </c>
      <c r="N102" s="41">
        <v>75</v>
      </c>
      <c r="O102" s="76">
        <f t="shared" si="1"/>
        <v>212.08333333333326</v>
      </c>
    </row>
    <row r="103" spans="1:17" ht="21" x14ac:dyDescent="0.25">
      <c r="A103" s="41">
        <v>1</v>
      </c>
      <c r="B103" s="41">
        <v>1529</v>
      </c>
      <c r="C103" s="250">
        <v>45876</v>
      </c>
      <c r="D103" s="41" t="s">
        <v>2479</v>
      </c>
      <c r="E103" s="41" t="s">
        <v>532</v>
      </c>
      <c r="F103" s="41" t="s">
        <v>2050</v>
      </c>
      <c r="G103" s="41" t="s">
        <v>1830</v>
      </c>
      <c r="H103" s="41">
        <v>250</v>
      </c>
      <c r="I103" s="41" t="s">
        <v>1650</v>
      </c>
      <c r="J103" s="41" t="s">
        <v>1182</v>
      </c>
      <c r="N103" s="41">
        <v>195</v>
      </c>
      <c r="O103" s="76">
        <f t="shared" si="1"/>
        <v>215.33333333333326</v>
      </c>
      <c r="P103" s="41">
        <v>30</v>
      </c>
      <c r="Q103" s="43" t="s">
        <v>2631</v>
      </c>
    </row>
    <row r="104" spans="1:17" x14ac:dyDescent="0.25">
      <c r="A104" s="41">
        <v>1</v>
      </c>
      <c r="B104" s="41">
        <v>1530</v>
      </c>
      <c r="C104" s="250">
        <v>45876</v>
      </c>
      <c r="D104" s="41" t="s">
        <v>2479</v>
      </c>
      <c r="E104" s="41" t="s">
        <v>532</v>
      </c>
      <c r="F104" s="41" t="s">
        <v>2050</v>
      </c>
      <c r="G104" s="41" t="s">
        <v>1830</v>
      </c>
      <c r="H104" s="41">
        <v>700</v>
      </c>
      <c r="I104" s="41" t="s">
        <v>1650</v>
      </c>
      <c r="J104" s="41" t="s">
        <v>1877</v>
      </c>
      <c r="N104" s="41">
        <v>33</v>
      </c>
      <c r="O104" s="76">
        <f t="shared" si="1"/>
        <v>215.88333333333327</v>
      </c>
      <c r="Q104" s="43" t="s">
        <v>2632</v>
      </c>
    </row>
    <row r="105" spans="1:17" ht="41.4" x14ac:dyDescent="0.25">
      <c r="A105" s="41">
        <v>1</v>
      </c>
      <c r="B105" s="41">
        <v>1531</v>
      </c>
      <c r="C105" s="250">
        <v>45877</v>
      </c>
      <c r="D105" s="41" t="s">
        <v>2479</v>
      </c>
      <c r="E105" s="41" t="s">
        <v>532</v>
      </c>
      <c r="F105" s="41" t="s">
        <v>1550</v>
      </c>
      <c r="G105" s="41" t="s">
        <v>2193</v>
      </c>
      <c r="I105" s="41" t="s">
        <v>574</v>
      </c>
      <c r="J105" s="41" t="s">
        <v>1182</v>
      </c>
      <c r="L105" s="41">
        <v>4605</v>
      </c>
      <c r="M105" s="59">
        <v>0.52083333333333337</v>
      </c>
      <c r="N105" s="41">
        <v>154</v>
      </c>
      <c r="O105" s="76">
        <f t="shared" si="1"/>
        <v>218.44999999999993</v>
      </c>
      <c r="P105" s="41">
        <v>35</v>
      </c>
      <c r="Q105" s="43" t="s">
        <v>2633</v>
      </c>
    </row>
    <row r="106" spans="1:17" ht="72" x14ac:dyDescent="0.25">
      <c r="A106" s="41">
        <v>1</v>
      </c>
      <c r="B106" s="41">
        <v>1532</v>
      </c>
      <c r="C106" s="250">
        <v>45880</v>
      </c>
      <c r="D106" s="41" t="s">
        <v>2479</v>
      </c>
      <c r="E106" s="41" t="s">
        <v>532</v>
      </c>
      <c r="F106" s="41" t="s">
        <v>1550</v>
      </c>
      <c r="G106" s="41" t="s">
        <v>2193</v>
      </c>
      <c r="I106" s="41" t="s">
        <v>335</v>
      </c>
      <c r="J106" s="41" t="s">
        <v>1182</v>
      </c>
      <c r="L106" s="41">
        <v>4590</v>
      </c>
      <c r="M106" s="59">
        <v>0.48888888888888887</v>
      </c>
      <c r="N106" s="41">
        <v>267</v>
      </c>
      <c r="O106" s="76">
        <f t="shared" si="1"/>
        <v>222.89999999999992</v>
      </c>
      <c r="P106" s="41">
        <v>84</v>
      </c>
      <c r="Q106" s="43" t="s">
        <v>2634</v>
      </c>
    </row>
    <row r="107" spans="1:17" x14ac:dyDescent="0.25">
      <c r="A107" s="41">
        <v>1</v>
      </c>
      <c r="B107" s="41">
        <v>1533</v>
      </c>
      <c r="C107" s="250">
        <v>45893</v>
      </c>
      <c r="D107" s="41" t="s">
        <v>2479</v>
      </c>
      <c r="E107" s="41" t="s">
        <v>532</v>
      </c>
      <c r="F107" s="41" t="s">
        <v>2050</v>
      </c>
      <c r="G107" s="41" t="s">
        <v>2193</v>
      </c>
      <c r="I107" s="41" t="s">
        <v>1650</v>
      </c>
      <c r="J107" s="41" t="s">
        <v>1182</v>
      </c>
      <c r="M107" s="59">
        <v>0.54513888888888895</v>
      </c>
      <c r="N107" s="41">
        <v>209</v>
      </c>
      <c r="O107" s="76">
        <f t="shared" si="1"/>
        <v>226.38333333333324</v>
      </c>
      <c r="P107" s="41">
        <v>32</v>
      </c>
    </row>
    <row r="108" spans="1:17" x14ac:dyDescent="0.25">
      <c r="A108" s="41">
        <v>1</v>
      </c>
      <c r="B108" s="41">
        <v>1534</v>
      </c>
      <c r="C108" s="250">
        <v>45902</v>
      </c>
      <c r="D108" s="41" t="s">
        <v>2479</v>
      </c>
      <c r="E108" s="41" t="s">
        <v>532</v>
      </c>
      <c r="F108" s="41" t="s">
        <v>2050</v>
      </c>
      <c r="G108" s="41" t="s">
        <v>2193</v>
      </c>
      <c r="H108" s="41">
        <v>400</v>
      </c>
      <c r="I108" s="41" t="s">
        <v>2443</v>
      </c>
      <c r="J108" s="41" t="s">
        <v>1182</v>
      </c>
      <c r="M108" s="59">
        <v>0.53819444444444442</v>
      </c>
      <c r="N108" s="41">
        <v>114</v>
      </c>
      <c r="O108" s="76">
        <f t="shared" si="1"/>
        <v>228.28333333333325</v>
      </c>
      <c r="P108" s="41">
        <v>30</v>
      </c>
    </row>
    <row r="109" spans="1:17" x14ac:dyDescent="0.25">
      <c r="A109" s="41">
        <v>1</v>
      </c>
      <c r="B109" s="41">
        <v>1535</v>
      </c>
      <c r="C109" s="250">
        <v>45905</v>
      </c>
      <c r="D109" s="41" t="s">
        <v>2479</v>
      </c>
      <c r="E109" s="41" t="s">
        <v>532</v>
      </c>
      <c r="F109" s="41" t="s">
        <v>2050</v>
      </c>
      <c r="G109" s="41" t="s">
        <v>1830</v>
      </c>
      <c r="H109" s="41">
        <v>700</v>
      </c>
      <c r="I109" s="41" t="s">
        <v>1650</v>
      </c>
      <c r="J109" s="41" t="s">
        <v>1877</v>
      </c>
      <c r="M109" s="59">
        <v>0.5625</v>
      </c>
      <c r="N109" s="41">
        <v>71</v>
      </c>
      <c r="O109" s="76">
        <f t="shared" si="1"/>
        <v>229.46666666666658</v>
      </c>
    </row>
    <row r="110" spans="1:17" ht="102.6" x14ac:dyDescent="0.25">
      <c r="A110" s="41">
        <v>1</v>
      </c>
      <c r="B110" s="41">
        <v>1536</v>
      </c>
      <c r="C110" s="250">
        <v>45906</v>
      </c>
      <c r="D110" s="41" t="s">
        <v>2479</v>
      </c>
      <c r="E110" s="41" t="s">
        <v>532</v>
      </c>
      <c r="F110" s="41" t="s">
        <v>2050</v>
      </c>
      <c r="G110" s="41" t="s">
        <v>2193</v>
      </c>
      <c r="I110" s="41" t="s">
        <v>2635</v>
      </c>
      <c r="J110" s="41" t="s">
        <v>1182</v>
      </c>
      <c r="M110" s="59">
        <v>0.55763888888888891</v>
      </c>
      <c r="N110" s="41">
        <v>174</v>
      </c>
      <c r="O110" s="76">
        <f t="shared" si="1"/>
        <v>232.36666666666659</v>
      </c>
      <c r="P110" s="41">
        <v>50</v>
      </c>
      <c r="Q110" s="43" t="s">
        <v>2636</v>
      </c>
    </row>
    <row r="111" spans="1:17" x14ac:dyDescent="0.25">
      <c r="A111" s="41">
        <v>1</v>
      </c>
      <c r="B111" s="41">
        <v>1537</v>
      </c>
      <c r="C111" s="250">
        <v>45908</v>
      </c>
      <c r="D111" s="41" t="s">
        <v>2479</v>
      </c>
      <c r="E111" s="41" t="s">
        <v>2577</v>
      </c>
      <c r="F111" s="41" t="s">
        <v>2500</v>
      </c>
      <c r="G111" s="41" t="s">
        <v>1830</v>
      </c>
      <c r="H111" s="41">
        <v>500</v>
      </c>
      <c r="I111" s="41" t="s">
        <v>748</v>
      </c>
      <c r="J111" s="41" t="s">
        <v>1877</v>
      </c>
      <c r="M111" s="59">
        <v>0.60902777777777783</v>
      </c>
      <c r="N111" s="41">
        <v>77</v>
      </c>
      <c r="O111" s="76">
        <f t="shared" si="1"/>
        <v>233.64999999999992</v>
      </c>
    </row>
    <row r="112" spans="1:17" x14ac:dyDescent="0.25">
      <c r="A112" s="41">
        <v>1</v>
      </c>
      <c r="B112" s="41">
        <v>1538</v>
      </c>
      <c r="C112" s="250">
        <v>45915</v>
      </c>
      <c r="D112" s="41" t="s">
        <v>2479</v>
      </c>
      <c r="E112" s="41" t="s">
        <v>2637</v>
      </c>
      <c r="F112" s="41" t="s">
        <v>2638</v>
      </c>
      <c r="G112" s="41" t="s">
        <v>1830</v>
      </c>
      <c r="H112" s="41">
        <v>1100</v>
      </c>
      <c r="I112" s="41" t="s">
        <v>2639</v>
      </c>
      <c r="J112" s="41" t="s">
        <v>1182</v>
      </c>
      <c r="M112" s="59">
        <v>0.54166666666666663</v>
      </c>
      <c r="N112" s="41">
        <v>92</v>
      </c>
      <c r="O112" s="76">
        <f t="shared" si="1"/>
        <v>235.18333333333325</v>
      </c>
      <c r="P112" s="41">
        <v>20</v>
      </c>
      <c r="Q112" s="43" t="s">
        <v>2640</v>
      </c>
    </row>
    <row r="113" spans="1:17" x14ac:dyDescent="0.25">
      <c r="A113" s="41">
        <v>1</v>
      </c>
      <c r="B113" s="41">
        <v>1539</v>
      </c>
      <c r="C113" s="250">
        <v>45916</v>
      </c>
      <c r="D113" s="41" t="s">
        <v>2479</v>
      </c>
      <c r="E113" s="41" t="s">
        <v>2637</v>
      </c>
      <c r="F113" s="41" t="s">
        <v>2638</v>
      </c>
      <c r="G113" s="41" t="s">
        <v>2193</v>
      </c>
      <c r="I113" s="41" t="s">
        <v>2639</v>
      </c>
      <c r="J113" s="41" t="s">
        <v>1182</v>
      </c>
      <c r="M113" s="59">
        <v>0.53263888888888888</v>
      </c>
      <c r="N113" s="41">
        <v>155</v>
      </c>
      <c r="O113" s="76">
        <f t="shared" si="1"/>
        <v>237.76666666666659</v>
      </c>
      <c r="P113" s="41">
        <v>48</v>
      </c>
      <c r="Q113" s="43" t="s">
        <v>2641</v>
      </c>
    </row>
    <row r="114" spans="1:17" x14ac:dyDescent="0.25">
      <c r="A114" s="41">
        <v>1</v>
      </c>
      <c r="B114" s="41">
        <v>1540</v>
      </c>
      <c r="C114" s="250">
        <v>45917</v>
      </c>
      <c r="D114" s="41" t="s">
        <v>2479</v>
      </c>
      <c r="E114" s="41" t="s">
        <v>2637</v>
      </c>
      <c r="F114" s="41" t="s">
        <v>2638</v>
      </c>
      <c r="G114" s="41" t="s">
        <v>2193</v>
      </c>
      <c r="I114" s="41" t="s">
        <v>2639</v>
      </c>
      <c r="J114" s="41" t="s">
        <v>1877</v>
      </c>
      <c r="M114" s="59">
        <v>0.55555555555555558</v>
      </c>
      <c r="N114" s="41">
        <v>82</v>
      </c>
      <c r="O114" s="76">
        <f t="shared" si="1"/>
        <v>239.13333333333327</v>
      </c>
    </row>
    <row r="115" spans="1:17" x14ac:dyDescent="0.25">
      <c r="A115" s="41">
        <v>1</v>
      </c>
      <c r="B115" s="41">
        <v>1541</v>
      </c>
      <c r="C115" s="250">
        <v>45918</v>
      </c>
      <c r="D115" s="41" t="s">
        <v>2479</v>
      </c>
      <c r="E115" s="41" t="s">
        <v>2637</v>
      </c>
      <c r="F115" s="41" t="s">
        <v>2642</v>
      </c>
      <c r="G115" s="41" t="s">
        <v>1830</v>
      </c>
      <c r="H115" s="41">
        <v>930</v>
      </c>
      <c r="I115" s="41" t="s">
        <v>2643</v>
      </c>
      <c r="J115" s="41" t="s">
        <v>1182</v>
      </c>
      <c r="M115" s="59">
        <v>0.5</v>
      </c>
      <c r="N115" s="41">
        <v>105</v>
      </c>
      <c r="O115" s="76">
        <f t="shared" si="1"/>
        <v>240.88333333333327</v>
      </c>
      <c r="P115" s="41">
        <v>22</v>
      </c>
    </row>
    <row r="116" spans="1:17" ht="41.4" x14ac:dyDescent="0.25">
      <c r="A116" s="41">
        <v>1</v>
      </c>
      <c r="B116" s="41">
        <v>1542</v>
      </c>
      <c r="C116" s="250">
        <v>45919</v>
      </c>
      <c r="D116" s="41" t="s">
        <v>2479</v>
      </c>
      <c r="E116" s="41" t="s">
        <v>2637</v>
      </c>
      <c r="F116" s="41" t="s">
        <v>2645</v>
      </c>
      <c r="G116" s="41" t="s">
        <v>2193</v>
      </c>
      <c r="I116" s="41" t="s">
        <v>2644</v>
      </c>
      <c r="J116" s="41" t="s">
        <v>1182</v>
      </c>
      <c r="M116" s="59">
        <v>0.5625</v>
      </c>
      <c r="N116" s="41">
        <v>212</v>
      </c>
      <c r="O116" s="76">
        <f t="shared" si="1"/>
        <v>244.4166666666666</v>
      </c>
      <c r="P116" s="41">
        <v>50</v>
      </c>
      <c r="Q116" s="43" t="s">
        <v>2646</v>
      </c>
    </row>
    <row r="117" spans="1:17" x14ac:dyDescent="0.25">
      <c r="A117" s="41">
        <v>1</v>
      </c>
      <c r="B117" s="41">
        <v>1543</v>
      </c>
      <c r="C117" s="250">
        <v>45920</v>
      </c>
      <c r="D117" s="41" t="s">
        <v>2479</v>
      </c>
      <c r="E117" s="41" t="s">
        <v>2637</v>
      </c>
      <c r="F117" s="41" t="s">
        <v>2642</v>
      </c>
      <c r="G117" s="41" t="s">
        <v>2193</v>
      </c>
      <c r="I117" s="41" t="s">
        <v>2643</v>
      </c>
      <c r="J117" s="41" t="s">
        <v>1877</v>
      </c>
      <c r="M117" s="59">
        <v>0.64166666666666672</v>
      </c>
      <c r="N117" s="41">
        <v>20</v>
      </c>
      <c r="O117" s="76">
        <f t="shared" si="1"/>
        <v>244.74999999999994</v>
      </c>
      <c r="Q117" s="43" t="s">
        <v>2647</v>
      </c>
    </row>
    <row r="118" spans="1:17" x14ac:dyDescent="0.25">
      <c r="A118" s="41">
        <v>1</v>
      </c>
      <c r="B118" s="41">
        <v>1544</v>
      </c>
      <c r="C118" s="250">
        <v>45921</v>
      </c>
      <c r="D118" s="41" t="s">
        <v>2479</v>
      </c>
      <c r="E118" s="41" t="s">
        <v>2637</v>
      </c>
      <c r="F118" s="41" t="s">
        <v>2648</v>
      </c>
      <c r="G118" s="41" t="s">
        <v>1830</v>
      </c>
      <c r="H118" s="41">
        <v>860</v>
      </c>
      <c r="I118" s="41" t="s">
        <v>2648</v>
      </c>
      <c r="J118" s="41" t="s">
        <v>1182</v>
      </c>
      <c r="M118" s="59">
        <v>0.50902777777777775</v>
      </c>
      <c r="N118" s="41">
        <v>152</v>
      </c>
      <c r="O118" s="76">
        <f t="shared" si="1"/>
        <v>247.28333333333327</v>
      </c>
      <c r="P118" s="41">
        <v>26</v>
      </c>
    </row>
    <row r="119" spans="1:17" x14ac:dyDescent="0.25">
      <c r="A119" s="41">
        <v>1</v>
      </c>
      <c r="B119" s="41">
        <v>1545</v>
      </c>
      <c r="C119" s="250">
        <v>45925</v>
      </c>
      <c r="D119" s="41" t="s">
        <v>2479</v>
      </c>
      <c r="E119" s="41" t="s">
        <v>2637</v>
      </c>
      <c r="F119" s="41" t="s">
        <v>2638</v>
      </c>
      <c r="G119" s="41" t="s">
        <v>1830</v>
      </c>
      <c r="H119" s="41">
        <v>1100</v>
      </c>
      <c r="I119" s="41" t="s">
        <v>2639</v>
      </c>
      <c r="J119" s="41" t="s">
        <v>1877</v>
      </c>
      <c r="M119" s="59">
        <v>0.52083333333333337</v>
      </c>
      <c r="N119" s="41">
        <v>13</v>
      </c>
      <c r="O119" s="76">
        <f t="shared" si="1"/>
        <v>247.49999999999994</v>
      </c>
    </row>
    <row r="120" spans="1:17" x14ac:dyDescent="0.25">
      <c r="A120" s="41">
        <v>1</v>
      </c>
      <c r="B120" s="41">
        <v>1546</v>
      </c>
      <c r="C120" s="250">
        <v>45928</v>
      </c>
      <c r="D120" s="41" t="s">
        <v>2479</v>
      </c>
      <c r="E120" s="41" t="s">
        <v>2637</v>
      </c>
      <c r="F120" s="41" t="s">
        <v>2638</v>
      </c>
      <c r="G120" s="41" t="s">
        <v>2193</v>
      </c>
      <c r="I120" s="41" t="s">
        <v>2639</v>
      </c>
      <c r="J120" s="41" t="s">
        <v>1877</v>
      </c>
      <c r="M120" s="59">
        <v>0.55555555555555558</v>
      </c>
      <c r="N120" s="41">
        <v>61</v>
      </c>
      <c r="O120" s="76">
        <f t="shared" si="1"/>
        <v>248.51666666666662</v>
      </c>
    </row>
    <row r="121" spans="1:17" x14ac:dyDescent="0.25">
      <c r="A121" s="41">
        <v>1</v>
      </c>
      <c r="B121" s="41">
        <v>1547</v>
      </c>
      <c r="C121" s="250">
        <v>45929</v>
      </c>
      <c r="D121" s="41" t="s">
        <v>2479</v>
      </c>
      <c r="E121" s="41" t="s">
        <v>2637</v>
      </c>
      <c r="F121" s="41" t="s">
        <v>2649</v>
      </c>
      <c r="G121" s="41" t="s">
        <v>1830</v>
      </c>
      <c r="H121" s="41">
        <v>500</v>
      </c>
      <c r="I121" s="41" t="s">
        <v>2650</v>
      </c>
      <c r="J121" s="41" t="s">
        <v>1182</v>
      </c>
      <c r="M121" s="59">
        <v>0.5805555555555556</v>
      </c>
      <c r="N121" s="41">
        <v>156</v>
      </c>
      <c r="O121" s="76">
        <f t="shared" si="1"/>
        <v>251.11666666666662</v>
      </c>
      <c r="P121" s="41">
        <v>35</v>
      </c>
      <c r="Q121" s="43" t="s">
        <v>2651</v>
      </c>
    </row>
    <row r="122" spans="1:17" x14ac:dyDescent="0.25">
      <c r="A122" s="41">
        <v>1</v>
      </c>
      <c r="B122" s="41">
        <v>1548</v>
      </c>
      <c r="C122" s="250">
        <v>45930</v>
      </c>
      <c r="D122" s="41" t="s">
        <v>2479</v>
      </c>
      <c r="E122" s="41" t="s">
        <v>2637</v>
      </c>
      <c r="F122" s="41" t="s">
        <v>2652</v>
      </c>
      <c r="G122" s="41" t="s">
        <v>1830</v>
      </c>
      <c r="H122" s="41">
        <v>770</v>
      </c>
      <c r="I122" s="41" t="s">
        <v>2653</v>
      </c>
      <c r="J122" s="41" t="s">
        <v>1877</v>
      </c>
      <c r="M122" s="59">
        <v>0.65902777777777777</v>
      </c>
      <c r="N122" s="41">
        <v>14</v>
      </c>
      <c r="O122" s="76">
        <f t="shared" si="1"/>
        <v>251.34999999999994</v>
      </c>
      <c r="Q122" s="43" t="s">
        <v>2654</v>
      </c>
    </row>
    <row r="123" spans="1:17" x14ac:dyDescent="0.25">
      <c r="A123" s="41">
        <v>1</v>
      </c>
      <c r="B123" s="41">
        <v>1549</v>
      </c>
      <c r="C123" s="250">
        <v>45931</v>
      </c>
      <c r="D123" s="41" t="s">
        <v>2479</v>
      </c>
      <c r="E123" s="41" t="s">
        <v>2637</v>
      </c>
      <c r="F123" s="41" t="s">
        <v>2655</v>
      </c>
      <c r="G123" s="41" t="s">
        <v>1830</v>
      </c>
      <c r="H123" s="41">
        <v>370</v>
      </c>
      <c r="I123" s="41" t="s">
        <v>2656</v>
      </c>
      <c r="J123" s="41" t="s">
        <v>1877</v>
      </c>
      <c r="M123" s="59">
        <v>0.63888888888888895</v>
      </c>
      <c r="N123" s="41">
        <v>45</v>
      </c>
      <c r="O123" s="76">
        <f t="shared" si="1"/>
        <v>252.09999999999994</v>
      </c>
      <c r="Q123" s="43" t="s">
        <v>2657</v>
      </c>
    </row>
    <row r="124" spans="1:17" x14ac:dyDescent="0.25">
      <c r="A124" s="41">
        <v>1</v>
      </c>
      <c r="B124" s="41">
        <v>1550</v>
      </c>
      <c r="C124" s="250">
        <v>45932</v>
      </c>
      <c r="D124" s="41" t="s">
        <v>2479</v>
      </c>
      <c r="E124" s="41" t="s">
        <v>2637</v>
      </c>
      <c r="F124" s="41" t="s">
        <v>2658</v>
      </c>
      <c r="G124" s="41" t="s">
        <v>1830</v>
      </c>
      <c r="H124" s="41">
        <v>833</v>
      </c>
      <c r="I124" s="41" t="s">
        <v>2659</v>
      </c>
      <c r="J124" s="41" t="s">
        <v>1877</v>
      </c>
      <c r="M124" s="59">
        <v>0.54375000000000007</v>
      </c>
      <c r="N124" s="41">
        <v>52</v>
      </c>
      <c r="O124" s="76">
        <f t="shared" si="1"/>
        <v>252.96666666666661</v>
      </c>
      <c r="Q124" s="43" t="s">
        <v>2660</v>
      </c>
    </row>
    <row r="125" spans="1:17" ht="31.2" x14ac:dyDescent="0.25">
      <c r="A125" s="41">
        <v>1</v>
      </c>
      <c r="B125" s="41">
        <v>1551</v>
      </c>
      <c r="C125" s="250">
        <v>45937</v>
      </c>
      <c r="D125" s="41" t="s">
        <v>2479</v>
      </c>
      <c r="E125" s="41" t="s">
        <v>2596</v>
      </c>
      <c r="F125" s="41" t="s">
        <v>127</v>
      </c>
      <c r="G125" s="41" t="s">
        <v>1830</v>
      </c>
      <c r="H125" s="41">
        <v>645</v>
      </c>
      <c r="I125" s="41" t="s">
        <v>2661</v>
      </c>
      <c r="J125" s="41" t="s">
        <v>1182</v>
      </c>
      <c r="M125" s="59">
        <v>0.56597222222222221</v>
      </c>
      <c r="N125" s="41">
        <v>46</v>
      </c>
      <c r="O125" s="76">
        <f t="shared" si="1"/>
        <v>253.73333333333329</v>
      </c>
      <c r="Q125" s="43" t="s">
        <v>2662</v>
      </c>
    </row>
    <row r="126" spans="1:17" x14ac:dyDescent="0.25">
      <c r="A126" s="41">
        <v>2</v>
      </c>
      <c r="B126" s="41">
        <v>1552</v>
      </c>
      <c r="C126" s="250">
        <v>45941</v>
      </c>
      <c r="D126" s="41" t="s">
        <v>2479</v>
      </c>
      <c r="E126" s="41" t="s">
        <v>532</v>
      </c>
      <c r="F126" s="41" t="s">
        <v>1836</v>
      </c>
      <c r="G126" s="41" t="s">
        <v>1830</v>
      </c>
      <c r="H126" s="41">
        <v>2250</v>
      </c>
      <c r="I126" s="41" t="s">
        <v>1650</v>
      </c>
      <c r="N126" s="41">
        <v>27</v>
      </c>
      <c r="O126" s="76">
        <f t="shared" si="1"/>
        <v>254.18333333333328</v>
      </c>
      <c r="Q126" s="43" t="s">
        <v>2663</v>
      </c>
    </row>
    <row r="127" spans="1:17" x14ac:dyDescent="0.25">
      <c r="A127" s="41">
        <v>1</v>
      </c>
      <c r="B127" s="41">
        <v>1553</v>
      </c>
      <c r="C127" s="250">
        <v>45943</v>
      </c>
      <c r="D127" s="41" t="s">
        <v>2479</v>
      </c>
      <c r="E127" s="41" t="s">
        <v>532</v>
      </c>
      <c r="F127" s="41" t="s">
        <v>2050</v>
      </c>
      <c r="G127" s="41" t="s">
        <v>2193</v>
      </c>
      <c r="I127" s="41" t="s">
        <v>1650</v>
      </c>
      <c r="J127" s="41" t="s">
        <v>1182</v>
      </c>
      <c r="M127" s="59">
        <v>0.5625</v>
      </c>
      <c r="N127" s="41">
        <v>131</v>
      </c>
      <c r="O127" s="76">
        <f t="shared" si="1"/>
        <v>256.36666666666662</v>
      </c>
      <c r="P127" s="41">
        <v>25</v>
      </c>
    </row>
    <row r="128" spans="1:17" x14ac:dyDescent="0.25">
      <c r="A128" s="41">
        <v>1</v>
      </c>
      <c r="B128" s="41">
        <v>1554</v>
      </c>
      <c r="C128" s="250">
        <v>45944</v>
      </c>
      <c r="D128" s="41" t="s">
        <v>2479</v>
      </c>
      <c r="E128" s="41" t="s">
        <v>532</v>
      </c>
      <c r="F128" s="41" t="s">
        <v>1836</v>
      </c>
      <c r="G128" s="41" t="s">
        <v>1830</v>
      </c>
      <c r="H128" s="41">
        <v>360</v>
      </c>
      <c r="I128" s="41" t="s">
        <v>1650</v>
      </c>
      <c r="J128" s="41" t="s">
        <v>1182</v>
      </c>
      <c r="M128" s="59">
        <v>0.5625</v>
      </c>
      <c r="N128" s="41">
        <v>58</v>
      </c>
      <c r="O128" s="76">
        <f t="shared" si="1"/>
        <v>257.33333333333326</v>
      </c>
      <c r="P128" s="41">
        <v>20</v>
      </c>
    </row>
    <row r="129" spans="1:17" x14ac:dyDescent="0.25">
      <c r="A129" s="41">
        <v>1</v>
      </c>
      <c r="B129" s="41">
        <v>1555</v>
      </c>
      <c r="C129" s="250">
        <v>45945</v>
      </c>
      <c r="D129" s="41" t="s">
        <v>2479</v>
      </c>
      <c r="E129" s="41" t="s">
        <v>532</v>
      </c>
      <c r="F129" s="41" t="s">
        <v>2050</v>
      </c>
      <c r="G129" s="41" t="s">
        <v>2193</v>
      </c>
      <c r="M129" s="59">
        <v>0.5625</v>
      </c>
      <c r="N129" s="41">
        <v>34</v>
      </c>
      <c r="O129" s="76">
        <f t="shared" si="1"/>
        <v>257.89999999999992</v>
      </c>
    </row>
    <row r="130" spans="1:17" x14ac:dyDescent="0.25">
      <c r="A130" s="41">
        <v>1</v>
      </c>
      <c r="B130" s="41">
        <v>1556</v>
      </c>
      <c r="C130" s="250">
        <v>45946</v>
      </c>
      <c r="D130" s="41" t="s">
        <v>2479</v>
      </c>
      <c r="E130" s="41" t="s">
        <v>532</v>
      </c>
      <c r="F130" s="41" t="s">
        <v>1836</v>
      </c>
      <c r="G130" s="41" t="s">
        <v>1830</v>
      </c>
      <c r="H130" s="41">
        <v>360</v>
      </c>
      <c r="I130" s="41" t="s">
        <v>2664</v>
      </c>
      <c r="M130" s="59">
        <v>0.5625</v>
      </c>
      <c r="N130" s="41">
        <v>29</v>
      </c>
      <c r="O130" s="76">
        <f t="shared" si="1"/>
        <v>258.38333333333327</v>
      </c>
    </row>
    <row r="131" spans="1:17" ht="21" x14ac:dyDescent="0.25">
      <c r="A131" s="41">
        <v>1</v>
      </c>
      <c r="B131" s="41">
        <v>1557</v>
      </c>
      <c r="C131" s="250">
        <v>45947</v>
      </c>
      <c r="D131" s="41" t="s">
        <v>2479</v>
      </c>
      <c r="E131" s="41" t="s">
        <v>532</v>
      </c>
      <c r="F131" s="41" t="s">
        <v>1836</v>
      </c>
      <c r="G131" s="41" t="s">
        <v>1830</v>
      </c>
      <c r="H131" s="41">
        <v>360</v>
      </c>
      <c r="I131" s="41" t="s">
        <v>1650</v>
      </c>
      <c r="J131" s="41" t="s">
        <v>1182</v>
      </c>
      <c r="L131" s="41">
        <v>2633</v>
      </c>
      <c r="M131" s="59">
        <v>0.54305555555555551</v>
      </c>
      <c r="N131" s="41">
        <v>110</v>
      </c>
      <c r="O131" s="76">
        <f t="shared" si="1"/>
        <v>260.21666666666658</v>
      </c>
      <c r="P131" s="41">
        <v>27</v>
      </c>
      <c r="Q131" s="43" t="s">
        <v>2665</v>
      </c>
    </row>
    <row r="132" spans="1:17" x14ac:dyDescent="0.25">
      <c r="A132" s="41">
        <v>1</v>
      </c>
      <c r="B132" s="41">
        <v>1558</v>
      </c>
      <c r="C132" s="250">
        <v>45964</v>
      </c>
      <c r="D132" s="41" t="s">
        <v>2479</v>
      </c>
      <c r="E132" s="41" t="s">
        <v>532</v>
      </c>
      <c r="F132" s="41" t="s">
        <v>2339</v>
      </c>
      <c r="G132" s="41" t="s">
        <v>1830</v>
      </c>
      <c r="H132" s="41">
        <v>400</v>
      </c>
      <c r="I132" s="41" t="s">
        <v>1650</v>
      </c>
      <c r="J132" s="41" t="s">
        <v>1877</v>
      </c>
      <c r="M132" s="59">
        <v>0.50486111111111109</v>
      </c>
      <c r="N132" s="41">
        <v>47</v>
      </c>
      <c r="O132" s="76">
        <f>O131+N132/60</f>
        <v>260.99999999999994</v>
      </c>
    </row>
    <row r="133" spans="1:17" x14ac:dyDescent="0.25">
      <c r="A133" s="41">
        <v>1</v>
      </c>
      <c r="B133" s="41">
        <v>1559</v>
      </c>
      <c r="C133" s="250">
        <v>45965</v>
      </c>
      <c r="D133" s="41" t="s">
        <v>2479</v>
      </c>
      <c r="E133" s="41" t="s">
        <v>532</v>
      </c>
      <c r="F133" s="41" t="s">
        <v>2339</v>
      </c>
      <c r="G133" s="41" t="s">
        <v>1830</v>
      </c>
      <c r="H133" s="41">
        <v>400</v>
      </c>
      <c r="I133" s="41" t="s">
        <v>1650</v>
      </c>
      <c r="J133" s="41" t="s">
        <v>1877</v>
      </c>
      <c r="M133" s="59">
        <v>0.4861111111111111</v>
      </c>
      <c r="N133" s="41">
        <v>6</v>
      </c>
      <c r="O133" s="76">
        <f>O132+N133/60</f>
        <v>261.09999999999997</v>
      </c>
    </row>
    <row r="134" spans="1:17" x14ac:dyDescent="0.25">
      <c r="A134" s="41">
        <v>1</v>
      </c>
      <c r="B134" s="41">
        <v>1560</v>
      </c>
      <c r="C134" s="250">
        <v>45970</v>
      </c>
      <c r="D134" s="41" t="s">
        <v>2479</v>
      </c>
      <c r="E134" s="41" t="s">
        <v>532</v>
      </c>
      <c r="F134" s="41" t="s">
        <v>1836</v>
      </c>
      <c r="G134" s="41" t="s">
        <v>1830</v>
      </c>
      <c r="H134" s="41">
        <v>1200</v>
      </c>
      <c r="I134" s="41" t="s">
        <v>1650</v>
      </c>
      <c r="J134" s="41" t="s">
        <v>1877</v>
      </c>
      <c r="M134" s="59">
        <v>0.4993055555555555</v>
      </c>
      <c r="N134" s="41">
        <v>121</v>
      </c>
      <c r="O134" s="76">
        <f>O133+N134/60</f>
        <v>263.11666666666662</v>
      </c>
    </row>
    <row r="135" spans="1:17" x14ac:dyDescent="0.25">
      <c r="A135" s="41">
        <v>1</v>
      </c>
      <c r="B135" s="41">
        <v>1561</v>
      </c>
      <c r="C135" s="250">
        <v>45972</v>
      </c>
      <c r="D135" s="41" t="s">
        <v>2479</v>
      </c>
      <c r="E135" s="41" t="s">
        <v>532</v>
      </c>
      <c r="F135" s="41" t="s">
        <v>1836</v>
      </c>
      <c r="G135" s="41" t="s">
        <v>1830</v>
      </c>
      <c r="H135" s="41">
        <v>1200</v>
      </c>
      <c r="I135" s="41" t="s">
        <v>1650</v>
      </c>
      <c r="J135" s="41" t="s">
        <v>1877</v>
      </c>
      <c r="M135" s="59">
        <v>0.51597222222222217</v>
      </c>
      <c r="N135" s="41">
        <v>17</v>
      </c>
      <c r="O135" s="76">
        <f>O134+N135/60</f>
        <v>263.39999999999998</v>
      </c>
    </row>
    <row r="136" spans="1:17" x14ac:dyDescent="0.25">
      <c r="A136" s="41">
        <v>1</v>
      </c>
      <c r="B136" s="41">
        <v>1562</v>
      </c>
      <c r="C136" s="250">
        <v>46019</v>
      </c>
      <c r="D136" s="41" t="s">
        <v>2479</v>
      </c>
      <c r="E136" s="41" t="s">
        <v>532</v>
      </c>
      <c r="F136" s="41" t="s">
        <v>2339</v>
      </c>
      <c r="G136" s="41" t="s">
        <v>1830</v>
      </c>
      <c r="H136" s="41">
        <v>400</v>
      </c>
      <c r="I136" s="41" t="s">
        <v>1650</v>
      </c>
      <c r="J136" s="41" t="s">
        <v>1877</v>
      </c>
      <c r="M136" s="59">
        <v>0.5131944444444444</v>
      </c>
      <c r="N136" s="41">
        <v>9</v>
      </c>
      <c r="O136" s="76">
        <f>O135+N136/60</f>
        <v>263.54999999999995</v>
      </c>
    </row>
  </sheetData>
  <autoFilter ref="A1:Q136">
    <filterColumn colId="3">
      <filters>
        <filter val="Ikuma 3P - 24"/>
      </filters>
    </filterColumn>
  </autoFilter>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43"/>
  <sheetViews>
    <sheetView zoomScaleNormal="100" workbookViewId="0">
      <pane ySplit="1" topLeftCell="A119" activePane="bottomLeft" state="frozen"/>
      <selection activeCell="B1" sqref="B1"/>
      <selection pane="bottomLeft" activeCell="N1" sqref="N1:N1048576"/>
    </sheetView>
  </sheetViews>
  <sheetFormatPr baseColWidth="10" defaultRowHeight="13.2" x14ac:dyDescent="0.25"/>
  <cols>
    <col min="3" max="3" width="11.5546875" style="250"/>
    <col min="8" max="8" width="11.5546875" style="41"/>
    <col min="12" max="12" width="11.5546875" style="41"/>
    <col min="16" max="16" width="11.5546875" style="41"/>
    <col min="17" max="17" width="70.5546875" style="43" customWidth="1"/>
  </cols>
  <sheetData>
    <row r="1" spans="1:17" x14ac:dyDescent="0.25">
      <c r="A1" s="244" t="s">
        <v>1178</v>
      </c>
      <c r="B1" s="244" t="s">
        <v>1164</v>
      </c>
      <c r="C1" s="249" t="s">
        <v>1165</v>
      </c>
      <c r="D1" s="244" t="s">
        <v>1166</v>
      </c>
      <c r="E1" s="244" t="s">
        <v>1167</v>
      </c>
      <c r="F1" s="244" t="s">
        <v>530</v>
      </c>
      <c r="G1" s="244" t="s">
        <v>1989</v>
      </c>
      <c r="H1" s="41" t="s">
        <v>1180</v>
      </c>
      <c r="I1" s="244" t="s">
        <v>531</v>
      </c>
      <c r="J1" s="244" t="s">
        <v>1829</v>
      </c>
      <c r="K1" s="244" t="s">
        <v>1177</v>
      </c>
      <c r="L1" s="41" t="s">
        <v>1173</v>
      </c>
      <c r="M1" s="246" t="s">
        <v>411</v>
      </c>
      <c r="N1" s="244" t="s">
        <v>1175</v>
      </c>
      <c r="O1" s="247" t="s">
        <v>321</v>
      </c>
      <c r="P1" s="244" t="s">
        <v>1179</v>
      </c>
      <c r="Q1" s="251" t="s">
        <v>2116</v>
      </c>
    </row>
    <row r="2" spans="1:17" hidden="1" x14ac:dyDescent="0.25">
      <c r="A2" s="41">
        <v>1</v>
      </c>
      <c r="B2" s="41">
        <v>1292</v>
      </c>
      <c r="C2" s="250">
        <v>45295</v>
      </c>
      <c r="D2" s="41" t="s">
        <v>2284</v>
      </c>
      <c r="E2" s="41" t="s">
        <v>532</v>
      </c>
      <c r="F2" s="41" t="s">
        <v>2050</v>
      </c>
      <c r="G2" s="41" t="s">
        <v>1830</v>
      </c>
      <c r="H2" s="41">
        <v>700</v>
      </c>
      <c r="I2" s="41" t="s">
        <v>1650</v>
      </c>
      <c r="J2" s="41" t="s">
        <v>1877</v>
      </c>
      <c r="K2" s="41" t="s">
        <v>2285</v>
      </c>
      <c r="M2" s="59">
        <v>0.54305555555555551</v>
      </c>
      <c r="N2" s="41">
        <v>25</v>
      </c>
      <c r="O2" s="76">
        <f>25/60</f>
        <v>0.41666666666666669</v>
      </c>
    </row>
    <row r="3" spans="1:17" s="41" customFormat="1" ht="10.199999999999999" hidden="1" x14ac:dyDescent="0.2">
      <c r="A3" s="41">
        <v>1</v>
      </c>
      <c r="B3" s="41">
        <v>1293</v>
      </c>
      <c r="C3" s="250">
        <v>45296</v>
      </c>
      <c r="D3" s="41" t="s">
        <v>2284</v>
      </c>
      <c r="E3" s="41" t="s">
        <v>532</v>
      </c>
      <c r="F3" s="41" t="s">
        <v>1836</v>
      </c>
      <c r="G3" s="41" t="s">
        <v>1830</v>
      </c>
      <c r="H3" s="41">
        <v>400</v>
      </c>
      <c r="I3" s="41" t="s">
        <v>1650</v>
      </c>
      <c r="J3" s="41" t="s">
        <v>1182</v>
      </c>
      <c r="L3" s="41">
        <v>1825</v>
      </c>
      <c r="M3" s="59">
        <v>0.53472222222222221</v>
      </c>
      <c r="N3" s="41">
        <v>118</v>
      </c>
      <c r="O3" s="76">
        <f>O2+N3/60</f>
        <v>2.3833333333333333</v>
      </c>
      <c r="P3" s="41">
        <v>24</v>
      </c>
      <c r="Q3" s="43"/>
    </row>
    <row r="4" spans="1:17" s="41" customFormat="1" ht="10.199999999999999" hidden="1" x14ac:dyDescent="0.2">
      <c r="A4" s="41">
        <v>1</v>
      </c>
      <c r="C4" s="250">
        <v>45306</v>
      </c>
      <c r="D4" s="41" t="s">
        <v>2284</v>
      </c>
      <c r="E4" s="41" t="s">
        <v>2238</v>
      </c>
      <c r="M4" s="59"/>
      <c r="O4" s="76">
        <f t="shared" ref="O4:O67" si="0">O3+N4/60</f>
        <v>2.3833333333333333</v>
      </c>
      <c r="Q4" s="43" t="s">
        <v>2286</v>
      </c>
    </row>
    <row r="5" spans="1:17" s="41" customFormat="1" ht="10.199999999999999" hidden="1" x14ac:dyDescent="0.2">
      <c r="A5" s="41">
        <v>1</v>
      </c>
      <c r="B5" s="41">
        <v>1294</v>
      </c>
      <c r="C5" s="250">
        <v>45301</v>
      </c>
      <c r="D5" s="41" t="s">
        <v>2284</v>
      </c>
      <c r="E5" s="41" t="s">
        <v>532</v>
      </c>
      <c r="F5" s="41" t="s">
        <v>423</v>
      </c>
      <c r="H5" s="41">
        <v>220</v>
      </c>
      <c r="I5" s="41" t="s">
        <v>423</v>
      </c>
      <c r="J5" s="41" t="s">
        <v>1877</v>
      </c>
      <c r="M5" s="59">
        <v>0.67499999999999993</v>
      </c>
      <c r="N5" s="41">
        <v>4</v>
      </c>
      <c r="O5" s="76">
        <f t="shared" si="0"/>
        <v>2.4500000000000002</v>
      </c>
      <c r="Q5" s="43"/>
    </row>
    <row r="6" spans="1:17" s="41" customFormat="1" ht="10.199999999999999" hidden="1" x14ac:dyDescent="0.2">
      <c r="A6" s="41">
        <v>1</v>
      </c>
      <c r="B6" s="41">
        <v>1295</v>
      </c>
      <c r="C6" s="250">
        <v>45304</v>
      </c>
      <c r="D6" s="41" t="s">
        <v>2429</v>
      </c>
      <c r="E6" s="41" t="s">
        <v>532</v>
      </c>
      <c r="F6" s="41" t="s">
        <v>2430</v>
      </c>
      <c r="G6" s="41" t="s">
        <v>2193</v>
      </c>
      <c r="I6" s="41" t="s">
        <v>1650</v>
      </c>
      <c r="J6" s="41" t="s">
        <v>1877</v>
      </c>
      <c r="M6" s="59">
        <v>0.54513888888888895</v>
      </c>
      <c r="N6" s="41">
        <v>6</v>
      </c>
      <c r="O6" s="76">
        <f t="shared" si="0"/>
        <v>2.5500000000000003</v>
      </c>
      <c r="Q6" s="43"/>
    </row>
    <row r="7" spans="1:17" s="41" customFormat="1" ht="10.199999999999999" hidden="1" x14ac:dyDescent="0.2">
      <c r="A7" s="41">
        <v>1</v>
      </c>
      <c r="B7" s="41">
        <v>1296</v>
      </c>
      <c r="C7" s="250">
        <v>45304</v>
      </c>
      <c r="D7" s="41" t="s">
        <v>2429</v>
      </c>
      <c r="E7" s="41" t="s">
        <v>532</v>
      </c>
      <c r="F7" s="41" t="s">
        <v>2050</v>
      </c>
      <c r="G7" s="41" t="s">
        <v>1830</v>
      </c>
      <c r="H7" s="41">
        <v>700</v>
      </c>
      <c r="I7" s="41" t="s">
        <v>1650</v>
      </c>
      <c r="J7" s="41" t="s">
        <v>1877</v>
      </c>
      <c r="M7" s="59">
        <v>0.58263888888888882</v>
      </c>
      <c r="N7" s="41">
        <v>15</v>
      </c>
      <c r="O7" s="76">
        <f t="shared" si="0"/>
        <v>2.8000000000000003</v>
      </c>
      <c r="Q7" s="43"/>
    </row>
    <row r="8" spans="1:17" s="41" customFormat="1" ht="81.599999999999994" hidden="1" x14ac:dyDescent="0.2">
      <c r="A8" s="41">
        <v>1</v>
      </c>
      <c r="B8" s="41">
        <v>1297</v>
      </c>
      <c r="C8" s="250">
        <v>45312</v>
      </c>
      <c r="D8" s="41" t="s">
        <v>2429</v>
      </c>
      <c r="E8" s="41" t="s">
        <v>532</v>
      </c>
      <c r="F8" s="41" t="s">
        <v>1836</v>
      </c>
      <c r="G8" s="41" t="s">
        <v>1830</v>
      </c>
      <c r="H8" s="41">
        <v>400</v>
      </c>
      <c r="I8" s="41" t="s">
        <v>1650</v>
      </c>
      <c r="J8" s="41" t="s">
        <v>1182</v>
      </c>
      <c r="K8" s="41" t="s">
        <v>2431</v>
      </c>
      <c r="L8" s="41">
        <v>1785</v>
      </c>
      <c r="M8" s="59">
        <v>0.56458333333333333</v>
      </c>
      <c r="N8" s="41">
        <v>120</v>
      </c>
      <c r="O8" s="76">
        <f t="shared" si="0"/>
        <v>4.8000000000000007</v>
      </c>
      <c r="P8" s="41">
        <v>20</v>
      </c>
      <c r="Q8" s="43" t="s">
        <v>2432</v>
      </c>
    </row>
    <row r="9" spans="1:17" s="41" customFormat="1" ht="10.199999999999999" hidden="1" x14ac:dyDescent="0.2">
      <c r="A9" s="41">
        <v>1</v>
      </c>
      <c r="B9" s="41">
        <v>1298</v>
      </c>
      <c r="C9" s="250">
        <v>45315</v>
      </c>
      <c r="D9" s="41" t="s">
        <v>2284</v>
      </c>
      <c r="E9" s="41" t="s">
        <v>532</v>
      </c>
      <c r="F9" s="41" t="s">
        <v>1836</v>
      </c>
      <c r="G9" s="41" t="s">
        <v>1830</v>
      </c>
      <c r="H9" s="41">
        <v>400</v>
      </c>
      <c r="I9" s="41" t="s">
        <v>1650</v>
      </c>
      <c r="J9" s="41" t="s">
        <v>1877</v>
      </c>
      <c r="L9" s="41">
        <v>1550</v>
      </c>
      <c r="M9" s="59">
        <v>0.58611111111111114</v>
      </c>
      <c r="N9" s="41">
        <v>54</v>
      </c>
      <c r="O9" s="76">
        <f t="shared" si="0"/>
        <v>5.7000000000000011</v>
      </c>
      <c r="Q9" s="43"/>
    </row>
    <row r="10" spans="1:17" s="41" customFormat="1" ht="10.199999999999999" hidden="1" x14ac:dyDescent="0.2">
      <c r="A10" s="41">
        <v>1</v>
      </c>
      <c r="B10" s="41">
        <v>1299</v>
      </c>
      <c r="C10" s="250">
        <v>45318</v>
      </c>
      <c r="D10" s="41" t="s">
        <v>2429</v>
      </c>
      <c r="E10" s="41" t="s">
        <v>532</v>
      </c>
      <c r="F10" s="41" t="s">
        <v>575</v>
      </c>
      <c r="G10" s="41" t="s">
        <v>2433</v>
      </c>
      <c r="I10" s="41" t="s">
        <v>1620</v>
      </c>
      <c r="J10" s="41" t="s">
        <v>1877</v>
      </c>
      <c r="M10" s="59">
        <v>0.45694444444444443</v>
      </c>
      <c r="N10" s="41">
        <v>16</v>
      </c>
      <c r="O10" s="76">
        <f t="shared" si="0"/>
        <v>5.9666666666666677</v>
      </c>
      <c r="Q10" s="43"/>
    </row>
    <row r="11" spans="1:17" s="41" customFormat="1" ht="10.199999999999999" hidden="1" x14ac:dyDescent="0.2">
      <c r="A11" s="41">
        <v>1</v>
      </c>
      <c r="B11" s="41">
        <v>1300</v>
      </c>
      <c r="C11" s="250">
        <v>45318</v>
      </c>
      <c r="D11" s="41" t="s">
        <v>2429</v>
      </c>
      <c r="E11" s="41" t="s">
        <v>532</v>
      </c>
      <c r="F11" s="41" t="s">
        <v>575</v>
      </c>
      <c r="G11" s="41" t="s">
        <v>2433</v>
      </c>
      <c r="I11" s="41" t="s">
        <v>1620</v>
      </c>
      <c r="J11" s="41" t="s">
        <v>1877</v>
      </c>
      <c r="M11" s="59">
        <v>0.51041666666666663</v>
      </c>
      <c r="N11" s="41">
        <v>18</v>
      </c>
      <c r="O11" s="76">
        <f t="shared" si="0"/>
        <v>6.2666666666666675</v>
      </c>
      <c r="Q11" s="43"/>
    </row>
    <row r="12" spans="1:17" s="41" customFormat="1" ht="10.199999999999999" hidden="1" x14ac:dyDescent="0.2">
      <c r="A12" s="41">
        <v>1</v>
      </c>
      <c r="B12" s="41">
        <v>1301</v>
      </c>
      <c r="C12" s="250">
        <v>45318</v>
      </c>
      <c r="D12" s="41" t="s">
        <v>2429</v>
      </c>
      <c r="E12" s="41" t="s">
        <v>532</v>
      </c>
      <c r="F12" s="41" t="s">
        <v>575</v>
      </c>
      <c r="G12" s="41" t="s">
        <v>2433</v>
      </c>
      <c r="I12" s="41" t="s">
        <v>1620</v>
      </c>
      <c r="J12" s="41" t="s">
        <v>1877</v>
      </c>
      <c r="M12" s="59">
        <v>0.55902777777777779</v>
      </c>
      <c r="N12" s="41">
        <v>20</v>
      </c>
      <c r="O12" s="76">
        <f t="shared" si="0"/>
        <v>6.6000000000000005</v>
      </c>
      <c r="Q12" s="43"/>
    </row>
    <row r="13" spans="1:17" s="41" customFormat="1" ht="10.199999999999999" hidden="1" x14ac:dyDescent="0.2">
      <c r="A13" s="41">
        <v>1</v>
      </c>
      <c r="B13" s="41">
        <v>1302</v>
      </c>
      <c r="C13" s="250">
        <v>45319</v>
      </c>
      <c r="D13" s="41" t="s">
        <v>2284</v>
      </c>
      <c r="E13" s="41" t="s">
        <v>532</v>
      </c>
      <c r="F13" s="41" t="s">
        <v>1836</v>
      </c>
      <c r="G13" s="41" t="s">
        <v>1830</v>
      </c>
      <c r="H13" s="41">
        <v>400</v>
      </c>
      <c r="I13" s="41" t="s">
        <v>2434</v>
      </c>
      <c r="J13" s="41" t="s">
        <v>1877</v>
      </c>
      <c r="L13" s="41">
        <v>1800</v>
      </c>
      <c r="M13" s="59">
        <v>0.5395833333333333</v>
      </c>
      <c r="N13" s="41">
        <v>51</v>
      </c>
      <c r="O13" s="76">
        <f t="shared" si="0"/>
        <v>7.45</v>
      </c>
      <c r="Q13" s="43"/>
    </row>
    <row r="14" spans="1:17" s="41" customFormat="1" ht="10.199999999999999" hidden="1" x14ac:dyDescent="0.2">
      <c r="A14" s="41">
        <v>1</v>
      </c>
      <c r="B14" s="41">
        <v>1303</v>
      </c>
      <c r="C14" s="250">
        <v>45319</v>
      </c>
      <c r="D14" s="41" t="s">
        <v>2284</v>
      </c>
      <c r="E14" s="41" t="s">
        <v>532</v>
      </c>
      <c r="F14" s="41" t="s">
        <v>2435</v>
      </c>
      <c r="G14" s="41" t="s">
        <v>1830</v>
      </c>
      <c r="H14" s="41">
        <v>350</v>
      </c>
      <c r="I14" s="41" t="s">
        <v>1650</v>
      </c>
      <c r="J14" s="41" t="s">
        <v>1877</v>
      </c>
      <c r="M14" s="59">
        <v>0.62916666666666665</v>
      </c>
      <c r="N14" s="41">
        <v>10</v>
      </c>
      <c r="O14" s="76">
        <f t="shared" si="0"/>
        <v>7.6166666666666671</v>
      </c>
      <c r="Q14" s="43"/>
    </row>
    <row r="15" spans="1:17" s="41" customFormat="1" ht="30.6" hidden="1" x14ac:dyDescent="0.2">
      <c r="A15" s="41">
        <v>1</v>
      </c>
      <c r="B15" s="41">
        <v>1304</v>
      </c>
      <c r="C15" s="250">
        <v>45336</v>
      </c>
      <c r="D15" s="41" t="s">
        <v>2429</v>
      </c>
      <c r="E15" s="41" t="s">
        <v>532</v>
      </c>
      <c r="F15" s="41" t="s">
        <v>1836</v>
      </c>
      <c r="G15" s="41" t="s">
        <v>1830</v>
      </c>
      <c r="H15" s="41">
        <v>400</v>
      </c>
      <c r="I15" s="41" t="s">
        <v>1650</v>
      </c>
      <c r="J15" s="41" t="s">
        <v>1182</v>
      </c>
      <c r="L15" s="41">
        <v>1750</v>
      </c>
      <c r="M15" s="59">
        <v>0.52500000000000002</v>
      </c>
      <c r="N15" s="41">
        <v>98</v>
      </c>
      <c r="O15" s="76">
        <f t="shared" si="0"/>
        <v>9.25</v>
      </c>
      <c r="P15" s="41">
        <v>24</v>
      </c>
      <c r="Q15" s="43" t="s">
        <v>2436</v>
      </c>
    </row>
    <row r="16" spans="1:17" s="41" customFormat="1" ht="51" hidden="1" x14ac:dyDescent="0.2">
      <c r="A16" s="41">
        <v>1</v>
      </c>
      <c r="B16" s="41">
        <v>1305</v>
      </c>
      <c r="C16" s="250">
        <v>45343</v>
      </c>
      <c r="D16" s="41" t="s">
        <v>2429</v>
      </c>
      <c r="E16" s="41" t="s">
        <v>532</v>
      </c>
      <c r="F16" s="41" t="s">
        <v>2050</v>
      </c>
      <c r="G16" s="41" t="s">
        <v>1830</v>
      </c>
      <c r="H16" s="41">
        <v>700</v>
      </c>
      <c r="I16" s="41" t="s">
        <v>1650</v>
      </c>
      <c r="M16" s="59">
        <v>0.51666666666666672</v>
      </c>
      <c r="N16" s="41">
        <v>66</v>
      </c>
      <c r="O16" s="76">
        <f t="shared" si="0"/>
        <v>10.35</v>
      </c>
      <c r="Q16" s="43" t="s">
        <v>2438</v>
      </c>
    </row>
    <row r="17" spans="1:18" s="41" customFormat="1" ht="20.399999999999999" hidden="1" x14ac:dyDescent="0.2">
      <c r="A17" s="41">
        <v>1</v>
      </c>
      <c r="B17" s="41">
        <v>1306</v>
      </c>
      <c r="C17" s="250">
        <v>45351</v>
      </c>
      <c r="D17" s="41" t="s">
        <v>2429</v>
      </c>
      <c r="E17" s="41" t="s">
        <v>532</v>
      </c>
      <c r="F17" s="41" t="s">
        <v>2050</v>
      </c>
      <c r="G17" s="41" t="s">
        <v>2193</v>
      </c>
      <c r="I17" s="41" t="s">
        <v>1650</v>
      </c>
      <c r="J17" s="41" t="s">
        <v>1182</v>
      </c>
      <c r="L17" s="41">
        <v>1700</v>
      </c>
      <c r="M17" s="59">
        <v>0.52777777777777779</v>
      </c>
      <c r="N17" s="41">
        <v>113</v>
      </c>
      <c r="O17" s="76">
        <f t="shared" si="0"/>
        <v>12.233333333333333</v>
      </c>
      <c r="Q17" s="43" t="s">
        <v>2439</v>
      </c>
    </row>
    <row r="18" spans="1:18" s="41" customFormat="1" ht="10.199999999999999" hidden="1" x14ac:dyDescent="0.2">
      <c r="A18" s="41">
        <v>1</v>
      </c>
      <c r="B18" s="41">
        <v>1307</v>
      </c>
      <c r="C18" s="250">
        <v>45357</v>
      </c>
      <c r="D18" s="41" t="s">
        <v>2429</v>
      </c>
      <c r="E18" s="41" t="s">
        <v>532</v>
      </c>
      <c r="F18" s="41" t="s">
        <v>2050</v>
      </c>
      <c r="G18" s="41" t="s">
        <v>2193</v>
      </c>
      <c r="I18" s="41" t="s">
        <v>1650</v>
      </c>
      <c r="J18" s="41" t="s">
        <v>1182</v>
      </c>
      <c r="L18" s="41">
        <v>1575</v>
      </c>
      <c r="M18" s="59">
        <v>0.50347222222222221</v>
      </c>
      <c r="N18" s="41">
        <v>135</v>
      </c>
      <c r="O18" s="76">
        <f t="shared" si="0"/>
        <v>14.483333333333333</v>
      </c>
      <c r="Q18" s="43"/>
    </row>
    <row r="19" spans="1:18" s="41" customFormat="1" ht="10.199999999999999" hidden="1" x14ac:dyDescent="0.2">
      <c r="A19" s="41">
        <v>1</v>
      </c>
      <c r="B19" s="41">
        <v>1308</v>
      </c>
      <c r="C19" s="250">
        <v>45358</v>
      </c>
      <c r="D19" s="41" t="s">
        <v>2429</v>
      </c>
      <c r="E19" s="41" t="s">
        <v>532</v>
      </c>
      <c r="F19" s="41" t="s">
        <v>2050</v>
      </c>
      <c r="G19" s="41" t="s">
        <v>2193</v>
      </c>
      <c r="I19" s="41" t="s">
        <v>1650</v>
      </c>
      <c r="J19" s="41" t="s">
        <v>1877</v>
      </c>
      <c r="L19" s="41">
        <v>1400</v>
      </c>
      <c r="M19" s="59">
        <v>0.53749999999999998</v>
      </c>
      <c r="N19" s="41">
        <v>129</v>
      </c>
      <c r="O19" s="76">
        <f t="shared" si="0"/>
        <v>16.633333333333333</v>
      </c>
      <c r="Q19" s="43" t="s">
        <v>2440</v>
      </c>
    </row>
    <row r="20" spans="1:18" s="41" customFormat="1" ht="10.199999999999999" hidden="1" x14ac:dyDescent="0.2">
      <c r="A20" s="41">
        <v>1</v>
      </c>
      <c r="B20" s="41">
        <v>1309</v>
      </c>
      <c r="C20" s="250">
        <v>45363</v>
      </c>
      <c r="D20" s="41" t="s">
        <v>2429</v>
      </c>
      <c r="E20" s="41" t="s">
        <v>532</v>
      </c>
      <c r="F20" s="41" t="s">
        <v>2442</v>
      </c>
      <c r="G20" s="41" t="s">
        <v>1830</v>
      </c>
      <c r="H20" s="41">
        <v>250</v>
      </c>
      <c r="I20" s="41" t="s">
        <v>2442</v>
      </c>
      <c r="J20" s="41" t="s">
        <v>1877</v>
      </c>
      <c r="M20" s="59">
        <v>0.65972222222222221</v>
      </c>
      <c r="N20" s="41">
        <v>5.5</v>
      </c>
      <c r="O20" s="76">
        <f t="shared" si="0"/>
        <v>16.724999999999998</v>
      </c>
      <c r="Q20" s="43" t="s">
        <v>2444</v>
      </c>
    </row>
    <row r="21" spans="1:18" s="41" customFormat="1" ht="20.399999999999999" hidden="1" x14ac:dyDescent="0.2">
      <c r="A21" s="41">
        <v>1</v>
      </c>
      <c r="B21" s="41">
        <v>1310</v>
      </c>
      <c r="C21" s="250">
        <v>45364</v>
      </c>
      <c r="D21" s="41" t="s">
        <v>2429</v>
      </c>
      <c r="E21" s="41" t="s">
        <v>532</v>
      </c>
      <c r="F21" s="41" t="s">
        <v>2050</v>
      </c>
      <c r="G21" s="41" t="s">
        <v>1830</v>
      </c>
      <c r="H21" s="41">
        <v>700</v>
      </c>
      <c r="I21" s="41" t="s">
        <v>1650</v>
      </c>
      <c r="J21" s="41" t="s">
        <v>1877</v>
      </c>
      <c r="M21" s="59">
        <v>0.51944444444444449</v>
      </c>
      <c r="N21" s="41">
        <v>35</v>
      </c>
      <c r="O21" s="76">
        <f t="shared" si="0"/>
        <v>17.30833333333333</v>
      </c>
      <c r="Q21" s="43" t="s">
        <v>2445</v>
      </c>
      <c r="R21" s="41" t="s">
        <v>2312</v>
      </c>
    </row>
    <row r="22" spans="1:18" s="41" customFormat="1" ht="51" hidden="1" x14ac:dyDescent="0.2">
      <c r="A22" s="41">
        <v>1</v>
      </c>
      <c r="B22" s="41">
        <v>1311</v>
      </c>
      <c r="C22" s="250">
        <v>45365</v>
      </c>
      <c r="D22" s="41" t="s">
        <v>2429</v>
      </c>
      <c r="E22" s="41" t="s">
        <v>532</v>
      </c>
      <c r="F22" s="41" t="s">
        <v>2050</v>
      </c>
      <c r="G22" s="41" t="s">
        <v>1830</v>
      </c>
      <c r="H22" s="41">
        <v>700</v>
      </c>
      <c r="I22" s="41" t="s">
        <v>2443</v>
      </c>
      <c r="J22" s="41" t="s">
        <v>1182</v>
      </c>
      <c r="L22" s="41">
        <v>2025</v>
      </c>
      <c r="M22" s="59">
        <v>0.51736111111111105</v>
      </c>
      <c r="N22" s="41">
        <v>88</v>
      </c>
      <c r="O22" s="76">
        <f t="shared" si="0"/>
        <v>18.774999999999995</v>
      </c>
      <c r="Q22" s="43" t="s">
        <v>2446</v>
      </c>
    </row>
    <row r="23" spans="1:18" s="41" customFormat="1" ht="30.6" hidden="1" x14ac:dyDescent="0.2">
      <c r="A23" s="41">
        <v>1</v>
      </c>
      <c r="B23" s="41">
        <v>1312</v>
      </c>
      <c r="C23" s="250">
        <v>45366</v>
      </c>
      <c r="D23" s="41" t="s">
        <v>2429</v>
      </c>
      <c r="E23" s="41" t="s">
        <v>532</v>
      </c>
      <c r="F23" s="41" t="s">
        <v>2050</v>
      </c>
      <c r="G23" s="41" t="s">
        <v>1830</v>
      </c>
      <c r="H23" s="41">
        <v>700</v>
      </c>
      <c r="I23" s="41" t="s">
        <v>1650</v>
      </c>
      <c r="J23" s="41" t="s">
        <v>1182</v>
      </c>
      <c r="L23" s="41">
        <v>2023</v>
      </c>
      <c r="M23" s="59">
        <v>0.49513888888888885</v>
      </c>
      <c r="N23" s="41">
        <v>112</v>
      </c>
      <c r="O23" s="76">
        <f t="shared" si="0"/>
        <v>20.641666666666662</v>
      </c>
      <c r="Q23" s="43" t="s">
        <v>2448</v>
      </c>
    </row>
    <row r="24" spans="1:18" s="41" customFormat="1" ht="20.399999999999999" hidden="1" x14ac:dyDescent="0.2">
      <c r="A24" s="41">
        <v>1</v>
      </c>
      <c r="B24" s="41">
        <v>1313</v>
      </c>
      <c r="C24" s="250">
        <v>45367</v>
      </c>
      <c r="D24" s="41" t="s">
        <v>2429</v>
      </c>
      <c r="E24" s="41" t="s">
        <v>532</v>
      </c>
      <c r="F24" s="41" t="s">
        <v>2050</v>
      </c>
      <c r="G24" s="41" t="s">
        <v>2193</v>
      </c>
      <c r="I24" s="41" t="s">
        <v>2231</v>
      </c>
      <c r="J24" s="41" t="s">
        <v>2447</v>
      </c>
      <c r="L24" s="41">
        <v>1508</v>
      </c>
      <c r="M24" s="59">
        <v>0.51944444444444449</v>
      </c>
      <c r="N24" s="41">
        <v>118</v>
      </c>
      <c r="O24" s="76">
        <f t="shared" si="0"/>
        <v>22.608333333333327</v>
      </c>
      <c r="P24" s="41">
        <v>25</v>
      </c>
      <c r="Q24" s="43" t="s">
        <v>2449</v>
      </c>
    </row>
    <row r="25" spans="1:18" s="41" customFormat="1" ht="40.799999999999997" hidden="1" x14ac:dyDescent="0.2">
      <c r="A25" s="41">
        <v>1</v>
      </c>
      <c r="B25" s="41">
        <v>1314</v>
      </c>
      <c r="C25" s="250">
        <v>45368</v>
      </c>
      <c r="D25" s="41" t="s">
        <v>2429</v>
      </c>
      <c r="E25" s="41" t="s">
        <v>532</v>
      </c>
      <c r="F25" s="41" t="s">
        <v>2050</v>
      </c>
      <c r="G25" s="41" t="s">
        <v>2193</v>
      </c>
      <c r="I25" s="41" t="s">
        <v>1650</v>
      </c>
      <c r="J25" s="41" t="s">
        <v>2447</v>
      </c>
      <c r="L25" s="41">
        <v>1889</v>
      </c>
      <c r="M25" s="59">
        <v>0.51180555555555551</v>
      </c>
      <c r="N25" s="41">
        <v>203</v>
      </c>
      <c r="O25" s="76">
        <f t="shared" si="0"/>
        <v>25.99166666666666</v>
      </c>
      <c r="P25" s="41">
        <v>40</v>
      </c>
      <c r="Q25" s="43" t="s">
        <v>2450</v>
      </c>
    </row>
    <row r="26" spans="1:18" s="41" customFormat="1" ht="10.199999999999999" hidden="1" x14ac:dyDescent="0.2">
      <c r="A26" s="41">
        <v>1</v>
      </c>
      <c r="B26" s="41">
        <v>1315</v>
      </c>
      <c r="C26" s="250">
        <v>45381</v>
      </c>
      <c r="D26" s="41" t="s">
        <v>2429</v>
      </c>
      <c r="E26" s="41" t="s">
        <v>532</v>
      </c>
      <c r="F26" s="41" t="s">
        <v>2050</v>
      </c>
      <c r="G26" s="41" t="s">
        <v>2193</v>
      </c>
      <c r="I26" s="41" t="s">
        <v>1650</v>
      </c>
      <c r="L26" s="41">
        <v>1543</v>
      </c>
      <c r="M26" s="59">
        <v>0.56041666666666667</v>
      </c>
      <c r="N26" s="41">
        <v>109</v>
      </c>
      <c r="O26" s="76">
        <f t="shared" si="0"/>
        <v>27.808333333333326</v>
      </c>
      <c r="Q26" s="43"/>
    </row>
    <row r="27" spans="1:18" s="41" customFormat="1" ht="10.199999999999999" hidden="1" x14ac:dyDescent="0.2">
      <c r="A27" s="41">
        <v>1</v>
      </c>
      <c r="B27" s="41">
        <v>1316</v>
      </c>
      <c r="C27" s="250">
        <v>45383</v>
      </c>
      <c r="D27" s="41" t="s">
        <v>2429</v>
      </c>
      <c r="E27" s="41" t="s">
        <v>532</v>
      </c>
      <c r="F27" s="41" t="s">
        <v>2050</v>
      </c>
      <c r="G27" s="41" t="s">
        <v>2193</v>
      </c>
      <c r="I27" s="41" t="s">
        <v>1650</v>
      </c>
      <c r="M27" s="59">
        <v>0.48333333333333334</v>
      </c>
      <c r="N27" s="41">
        <v>36</v>
      </c>
      <c r="O27" s="76">
        <f t="shared" si="0"/>
        <v>28.408333333333328</v>
      </c>
      <c r="Q27" s="43"/>
    </row>
    <row r="28" spans="1:18" s="41" customFormat="1" ht="10.199999999999999" hidden="1" x14ac:dyDescent="0.2">
      <c r="A28" s="41">
        <v>1</v>
      </c>
      <c r="B28" s="41">
        <v>1317</v>
      </c>
      <c r="C28" s="250">
        <v>45383</v>
      </c>
      <c r="D28" s="41" t="s">
        <v>2429</v>
      </c>
      <c r="E28" s="41" t="s">
        <v>532</v>
      </c>
      <c r="F28" s="41" t="s">
        <v>2050</v>
      </c>
      <c r="G28" s="41" t="s">
        <v>2193</v>
      </c>
      <c r="I28" s="41" t="s">
        <v>2454</v>
      </c>
      <c r="J28" s="41" t="s">
        <v>1182</v>
      </c>
      <c r="L28" s="41">
        <v>2600</v>
      </c>
      <c r="M28" s="59">
        <v>0.53333333333333333</v>
      </c>
      <c r="N28" s="41">
        <v>113</v>
      </c>
      <c r="O28" s="76">
        <f t="shared" si="0"/>
        <v>30.291666666666661</v>
      </c>
      <c r="P28" s="41">
        <v>27</v>
      </c>
      <c r="Q28" s="43" t="s">
        <v>2451</v>
      </c>
    </row>
    <row r="29" spans="1:18" s="41" customFormat="1" ht="40.799999999999997" hidden="1" x14ac:dyDescent="0.2">
      <c r="A29" s="41">
        <v>1</v>
      </c>
      <c r="B29" s="41">
        <v>1318</v>
      </c>
      <c r="C29" s="250">
        <v>45385</v>
      </c>
      <c r="D29" s="41" t="s">
        <v>2429</v>
      </c>
      <c r="E29" s="41" t="s">
        <v>532</v>
      </c>
      <c r="F29" s="41" t="s">
        <v>2050</v>
      </c>
      <c r="G29" s="41" t="s">
        <v>2193</v>
      </c>
      <c r="I29" s="41" t="s">
        <v>2452</v>
      </c>
      <c r="J29" s="41" t="s">
        <v>1182</v>
      </c>
      <c r="L29" s="41">
        <v>2074</v>
      </c>
      <c r="M29" s="59">
        <v>0.51041666666666663</v>
      </c>
      <c r="N29" s="41">
        <v>136</v>
      </c>
      <c r="O29" s="76">
        <f t="shared" si="0"/>
        <v>32.55833333333333</v>
      </c>
      <c r="P29" s="41">
        <v>37</v>
      </c>
      <c r="Q29" s="43" t="s">
        <v>2453</v>
      </c>
    </row>
    <row r="30" spans="1:18" s="41" customFormat="1" ht="10.199999999999999" hidden="1" x14ac:dyDescent="0.2">
      <c r="A30" s="41">
        <v>1</v>
      </c>
      <c r="B30" s="41">
        <v>1319</v>
      </c>
      <c r="C30" s="250">
        <v>45386</v>
      </c>
      <c r="D30" s="41" t="s">
        <v>2429</v>
      </c>
      <c r="E30" s="41" t="s">
        <v>532</v>
      </c>
      <c r="F30" s="41" t="s">
        <v>2050</v>
      </c>
      <c r="G30" s="41" t="s">
        <v>2193</v>
      </c>
      <c r="I30" s="41" t="s">
        <v>1836</v>
      </c>
      <c r="J30" s="41" t="s">
        <v>1877</v>
      </c>
      <c r="M30" s="59">
        <v>0.51041666666666663</v>
      </c>
      <c r="N30" s="41">
        <v>30</v>
      </c>
      <c r="O30" s="76">
        <f t="shared" si="0"/>
        <v>33.05833333333333</v>
      </c>
      <c r="Q30" s="43"/>
    </row>
    <row r="31" spans="1:18" s="41" customFormat="1" ht="10.199999999999999" hidden="1" x14ac:dyDescent="0.2">
      <c r="A31" s="41">
        <v>1</v>
      </c>
      <c r="B31" s="41">
        <v>1320</v>
      </c>
      <c r="C31" s="250">
        <v>45386</v>
      </c>
      <c r="D31" s="41" t="s">
        <v>2429</v>
      </c>
      <c r="E31" s="41" t="s">
        <v>532</v>
      </c>
      <c r="F31" s="41" t="s">
        <v>1836</v>
      </c>
      <c r="I31" s="41" t="s">
        <v>1650</v>
      </c>
      <c r="J31" s="41" t="s">
        <v>1182</v>
      </c>
      <c r="L31" s="41">
        <v>2125</v>
      </c>
      <c r="M31" s="59">
        <v>13</v>
      </c>
      <c r="N31" s="41">
        <v>199</v>
      </c>
      <c r="O31" s="76">
        <f t="shared" si="0"/>
        <v>36.375</v>
      </c>
      <c r="P31" s="41">
        <v>45</v>
      </c>
      <c r="Q31" s="43"/>
    </row>
    <row r="32" spans="1:18" s="41" customFormat="1" ht="10.199999999999999" hidden="1" x14ac:dyDescent="0.2">
      <c r="A32" s="41">
        <v>1</v>
      </c>
      <c r="B32" s="41">
        <v>1321</v>
      </c>
      <c r="C32" s="250">
        <v>45387</v>
      </c>
      <c r="D32" s="41" t="s">
        <v>2429</v>
      </c>
      <c r="E32" s="41" t="s">
        <v>532</v>
      </c>
      <c r="F32" s="41" t="s">
        <v>2050</v>
      </c>
      <c r="G32" s="41" t="s">
        <v>2193</v>
      </c>
      <c r="I32" s="41" t="s">
        <v>1650</v>
      </c>
      <c r="J32" s="41" t="s">
        <v>1877</v>
      </c>
      <c r="L32" s="41">
        <v>1485</v>
      </c>
      <c r="M32" s="59"/>
      <c r="N32" s="41">
        <v>68</v>
      </c>
      <c r="O32" s="76">
        <f t="shared" si="0"/>
        <v>37.508333333333333</v>
      </c>
      <c r="Q32" s="43"/>
    </row>
    <row r="33" spans="1:17" s="41" customFormat="1" ht="10.199999999999999" hidden="1" x14ac:dyDescent="0.2">
      <c r="A33" s="41">
        <v>1</v>
      </c>
      <c r="B33" s="41">
        <v>1322</v>
      </c>
      <c r="C33" s="250">
        <v>45393</v>
      </c>
      <c r="D33" s="41" t="s">
        <v>2429</v>
      </c>
      <c r="E33" s="41" t="s">
        <v>532</v>
      </c>
      <c r="F33" s="41" t="s">
        <v>2050</v>
      </c>
      <c r="G33" s="41" t="s">
        <v>2193</v>
      </c>
      <c r="I33" s="41" t="s">
        <v>1650</v>
      </c>
      <c r="J33" s="41" t="s">
        <v>1182</v>
      </c>
      <c r="L33" s="41">
        <v>2125</v>
      </c>
      <c r="M33" s="59">
        <v>0.5180555555555556</v>
      </c>
      <c r="N33" s="41">
        <v>252</v>
      </c>
      <c r="O33" s="76">
        <f t="shared" si="0"/>
        <v>41.708333333333336</v>
      </c>
      <c r="P33" s="41">
        <v>46</v>
      </c>
      <c r="Q33" s="43" t="s">
        <v>2455</v>
      </c>
    </row>
    <row r="34" spans="1:17" s="41" customFormat="1" ht="30.6" hidden="1" x14ac:dyDescent="0.2">
      <c r="A34" s="41">
        <v>1</v>
      </c>
      <c r="B34" s="41">
        <v>1323</v>
      </c>
      <c r="C34" s="250">
        <v>45394</v>
      </c>
      <c r="D34" s="41" t="s">
        <v>2429</v>
      </c>
      <c r="E34" s="41" t="s">
        <v>532</v>
      </c>
      <c r="F34" s="41" t="s">
        <v>2019</v>
      </c>
      <c r="G34" s="41" t="s">
        <v>2193</v>
      </c>
      <c r="I34" s="41" t="s">
        <v>2456</v>
      </c>
      <c r="J34" s="41" t="s">
        <v>1182</v>
      </c>
      <c r="L34" s="41">
        <v>2878</v>
      </c>
      <c r="M34" s="59">
        <v>0.51736111111111105</v>
      </c>
      <c r="N34" s="41">
        <v>166</v>
      </c>
      <c r="O34" s="76">
        <f t="shared" si="0"/>
        <v>44.475000000000001</v>
      </c>
      <c r="P34" s="41">
        <v>38</v>
      </c>
      <c r="Q34" s="43" t="s">
        <v>2457</v>
      </c>
    </row>
    <row r="35" spans="1:17" s="41" customFormat="1" ht="10.199999999999999" hidden="1" x14ac:dyDescent="0.2">
      <c r="A35" s="41">
        <v>1</v>
      </c>
      <c r="B35" s="41">
        <v>1324</v>
      </c>
      <c r="C35" s="250">
        <v>45395</v>
      </c>
      <c r="D35" s="41" t="s">
        <v>2429</v>
      </c>
      <c r="E35" s="41" t="s">
        <v>532</v>
      </c>
      <c r="F35" s="41" t="s">
        <v>2019</v>
      </c>
      <c r="G35" s="41" t="s">
        <v>2193</v>
      </c>
      <c r="I35" s="41" t="s">
        <v>2355</v>
      </c>
      <c r="J35" s="41" t="s">
        <v>2447</v>
      </c>
      <c r="L35" s="41">
        <v>3366</v>
      </c>
      <c r="M35" s="59">
        <v>0.52083333333333337</v>
      </c>
      <c r="N35" s="41">
        <v>198</v>
      </c>
      <c r="O35" s="76">
        <f t="shared" si="0"/>
        <v>47.774999999999999</v>
      </c>
      <c r="Q35" s="43" t="s">
        <v>2458</v>
      </c>
    </row>
    <row r="36" spans="1:17" s="41" customFormat="1" ht="20.399999999999999" hidden="1" x14ac:dyDescent="0.2">
      <c r="A36" s="41">
        <v>1</v>
      </c>
      <c r="B36" s="41">
        <v>1325</v>
      </c>
      <c r="C36" s="250">
        <v>45396</v>
      </c>
      <c r="D36" s="41" t="s">
        <v>2429</v>
      </c>
      <c r="E36" s="41" t="s">
        <v>532</v>
      </c>
      <c r="F36" s="41" t="s">
        <v>2019</v>
      </c>
      <c r="G36" s="41" t="s">
        <v>2193</v>
      </c>
      <c r="I36" s="41" t="s">
        <v>2355</v>
      </c>
      <c r="J36" s="41" t="s">
        <v>2447</v>
      </c>
      <c r="L36" s="41">
        <v>3302</v>
      </c>
      <c r="M36" s="59">
        <v>0.50277777777777777</v>
      </c>
      <c r="N36" s="41">
        <v>242</v>
      </c>
      <c r="O36" s="76">
        <f t="shared" si="0"/>
        <v>51.80833333333333</v>
      </c>
      <c r="Q36" s="43" t="s">
        <v>2459</v>
      </c>
    </row>
    <row r="37" spans="1:17" s="41" customFormat="1" ht="10.199999999999999" hidden="1" x14ac:dyDescent="0.2">
      <c r="A37" s="41">
        <v>1</v>
      </c>
      <c r="B37" s="41">
        <v>1326</v>
      </c>
      <c r="C37" s="250">
        <v>45401</v>
      </c>
      <c r="D37" s="41" t="s">
        <v>2429</v>
      </c>
      <c r="E37" s="41" t="s">
        <v>532</v>
      </c>
      <c r="F37" s="41" t="s">
        <v>2050</v>
      </c>
      <c r="G37" s="41" t="s">
        <v>2193</v>
      </c>
      <c r="I37" s="41" t="s">
        <v>1650</v>
      </c>
      <c r="J37" s="41" t="s">
        <v>1182</v>
      </c>
      <c r="M37" s="59">
        <v>0.53680555555555554</v>
      </c>
      <c r="N37" s="41">
        <v>162</v>
      </c>
      <c r="O37" s="76">
        <f t="shared" si="0"/>
        <v>54.508333333333333</v>
      </c>
      <c r="P37" s="41">
        <v>30</v>
      </c>
      <c r="Q37" s="43" t="s">
        <v>2460</v>
      </c>
    </row>
    <row r="38" spans="1:17" s="41" customFormat="1" ht="10.199999999999999" hidden="1" x14ac:dyDescent="0.2">
      <c r="A38" s="41">
        <v>1</v>
      </c>
      <c r="B38" s="41">
        <v>1327</v>
      </c>
      <c r="C38" s="250">
        <v>45402</v>
      </c>
      <c r="D38" s="41" t="s">
        <v>2462</v>
      </c>
      <c r="M38" s="59"/>
      <c r="N38" s="41">
        <v>21</v>
      </c>
      <c r="O38" s="76">
        <f t="shared" si="0"/>
        <v>54.858333333333334</v>
      </c>
      <c r="Q38" s="43"/>
    </row>
    <row r="39" spans="1:17" s="41" customFormat="1" ht="10.199999999999999" hidden="1" x14ac:dyDescent="0.2">
      <c r="A39" s="41">
        <v>1</v>
      </c>
      <c r="B39" s="41">
        <v>1328</v>
      </c>
      <c r="C39" s="250">
        <v>45408</v>
      </c>
      <c r="D39" s="41" t="s">
        <v>2429</v>
      </c>
      <c r="E39" s="41" t="s">
        <v>30</v>
      </c>
      <c r="F39" s="41" t="s">
        <v>2467</v>
      </c>
      <c r="M39" s="59"/>
      <c r="N39" s="41">
        <v>12</v>
      </c>
      <c r="O39" s="76">
        <f t="shared" si="0"/>
        <v>55.058333333333337</v>
      </c>
      <c r="Q39" s="43" t="s">
        <v>2461</v>
      </c>
    </row>
    <row r="40" spans="1:17" s="41" customFormat="1" ht="10.199999999999999" hidden="1" x14ac:dyDescent="0.2">
      <c r="A40" s="41">
        <v>1</v>
      </c>
      <c r="B40" s="41">
        <v>1329</v>
      </c>
      <c r="C40" s="250">
        <v>45412</v>
      </c>
      <c r="D40" s="41" t="s">
        <v>2429</v>
      </c>
      <c r="E40" s="41" t="s">
        <v>30</v>
      </c>
      <c r="F40" s="41" t="s">
        <v>2467</v>
      </c>
      <c r="M40" s="59"/>
      <c r="N40" s="41">
        <v>16</v>
      </c>
      <c r="O40" s="76">
        <f t="shared" si="0"/>
        <v>55.325000000000003</v>
      </c>
      <c r="Q40" s="43"/>
    </row>
    <row r="41" spans="1:17" s="41" customFormat="1" ht="10.199999999999999" hidden="1" x14ac:dyDescent="0.2">
      <c r="A41" s="41">
        <v>1</v>
      </c>
      <c r="B41" s="41">
        <v>1330</v>
      </c>
      <c r="C41" s="250">
        <v>45412</v>
      </c>
      <c r="D41" s="41" t="s">
        <v>2429</v>
      </c>
      <c r="E41" s="41" t="s">
        <v>30</v>
      </c>
      <c r="F41" s="41" t="s">
        <v>2467</v>
      </c>
      <c r="M41" s="59"/>
      <c r="N41" s="41">
        <v>16</v>
      </c>
      <c r="O41" s="76">
        <f t="shared" si="0"/>
        <v>55.591666666666669</v>
      </c>
      <c r="Q41" s="43"/>
    </row>
    <row r="42" spans="1:17" s="41" customFormat="1" ht="10.199999999999999" hidden="1" x14ac:dyDescent="0.2">
      <c r="A42" s="41">
        <v>1</v>
      </c>
      <c r="B42" s="41">
        <v>1331</v>
      </c>
      <c r="C42" s="250">
        <v>45412</v>
      </c>
      <c r="D42" s="41" t="s">
        <v>2429</v>
      </c>
      <c r="E42" s="41" t="s">
        <v>30</v>
      </c>
      <c r="F42" s="41" t="s">
        <v>2467</v>
      </c>
      <c r="M42" s="59"/>
      <c r="N42" s="41">
        <v>12</v>
      </c>
      <c r="O42" s="76">
        <f t="shared" si="0"/>
        <v>55.791666666666671</v>
      </c>
      <c r="Q42" s="43"/>
    </row>
    <row r="43" spans="1:17" s="41" customFormat="1" ht="10.199999999999999" hidden="1" x14ac:dyDescent="0.2">
      <c r="A43" s="41">
        <v>1</v>
      </c>
      <c r="B43" s="41">
        <v>1332</v>
      </c>
      <c r="C43" s="250">
        <v>45413</v>
      </c>
      <c r="D43" s="41" t="s">
        <v>2429</v>
      </c>
      <c r="E43" s="41" t="s">
        <v>30</v>
      </c>
      <c r="F43" s="41" t="s">
        <v>2467</v>
      </c>
      <c r="M43" s="59"/>
      <c r="N43" s="41">
        <v>12</v>
      </c>
      <c r="O43" s="76">
        <f t="shared" si="0"/>
        <v>55.991666666666674</v>
      </c>
      <c r="Q43" s="43"/>
    </row>
    <row r="44" spans="1:17" s="41" customFormat="1" ht="10.199999999999999" hidden="1" x14ac:dyDescent="0.2">
      <c r="A44" s="41">
        <v>1</v>
      </c>
      <c r="B44" s="41">
        <v>1333</v>
      </c>
      <c r="C44" s="250">
        <v>45413</v>
      </c>
      <c r="D44" s="41" t="s">
        <v>2429</v>
      </c>
      <c r="E44" s="41" t="s">
        <v>30</v>
      </c>
      <c r="F44" s="41" t="s">
        <v>2467</v>
      </c>
      <c r="M44" s="59"/>
      <c r="N44" s="41">
        <v>12</v>
      </c>
      <c r="O44" s="76">
        <f t="shared" si="0"/>
        <v>56.191666666666677</v>
      </c>
      <c r="Q44" s="43"/>
    </row>
    <row r="45" spans="1:17" s="41" customFormat="1" ht="10.199999999999999" hidden="1" x14ac:dyDescent="0.2">
      <c r="A45" s="41">
        <v>1</v>
      </c>
      <c r="B45" s="41">
        <v>1334</v>
      </c>
      <c r="C45" s="250">
        <v>45414</v>
      </c>
      <c r="D45" s="41" t="s">
        <v>2429</v>
      </c>
      <c r="E45" s="41" t="s">
        <v>30</v>
      </c>
      <c r="F45" s="41" t="s">
        <v>2467</v>
      </c>
      <c r="M45" s="59"/>
      <c r="N45" s="41">
        <v>12</v>
      </c>
      <c r="O45" s="76">
        <f t="shared" si="0"/>
        <v>56.39166666666668</v>
      </c>
      <c r="Q45" s="43"/>
    </row>
    <row r="46" spans="1:17" s="41" customFormat="1" ht="10.199999999999999" hidden="1" x14ac:dyDescent="0.2">
      <c r="A46" s="41">
        <v>1</v>
      </c>
      <c r="B46" s="41">
        <v>1335</v>
      </c>
      <c r="C46" s="250">
        <v>45414</v>
      </c>
      <c r="D46" s="41" t="s">
        <v>2429</v>
      </c>
      <c r="E46" s="41" t="s">
        <v>30</v>
      </c>
      <c r="F46" s="41" t="s">
        <v>2467</v>
      </c>
      <c r="M46" s="59"/>
      <c r="N46" s="41">
        <v>12</v>
      </c>
      <c r="O46" s="76">
        <f t="shared" si="0"/>
        <v>56.591666666666683</v>
      </c>
      <c r="Q46" s="43"/>
    </row>
    <row r="47" spans="1:17" s="41" customFormat="1" ht="10.199999999999999" hidden="1" x14ac:dyDescent="0.2">
      <c r="A47" s="41">
        <v>1</v>
      </c>
      <c r="B47" s="41">
        <v>1336</v>
      </c>
      <c r="C47" s="250">
        <v>45420</v>
      </c>
      <c r="D47" s="41" t="s">
        <v>2462</v>
      </c>
      <c r="E47" s="41" t="s">
        <v>532</v>
      </c>
      <c r="F47" s="41" t="s">
        <v>2019</v>
      </c>
      <c r="I47" s="41" t="s">
        <v>2355</v>
      </c>
      <c r="M47" s="59"/>
      <c r="N47" s="41">
        <v>10</v>
      </c>
      <c r="O47" s="76">
        <f t="shared" si="0"/>
        <v>56.758333333333347</v>
      </c>
      <c r="Q47" s="43" t="s">
        <v>2463</v>
      </c>
    </row>
    <row r="48" spans="1:17" s="41" customFormat="1" ht="10.199999999999999" hidden="1" x14ac:dyDescent="0.2">
      <c r="A48" s="41">
        <v>1</v>
      </c>
      <c r="B48" s="41">
        <v>1337</v>
      </c>
      <c r="C48" s="250">
        <v>45420</v>
      </c>
      <c r="D48" s="41" t="s">
        <v>2462</v>
      </c>
      <c r="E48" s="41" t="s">
        <v>532</v>
      </c>
      <c r="F48" s="41" t="s">
        <v>2019</v>
      </c>
      <c r="I48" s="41" t="s">
        <v>2355</v>
      </c>
      <c r="M48" s="59"/>
      <c r="N48" s="41">
        <v>20</v>
      </c>
      <c r="O48" s="76">
        <f t="shared" si="0"/>
        <v>57.091666666666683</v>
      </c>
      <c r="Q48" s="43" t="s">
        <v>2464</v>
      </c>
    </row>
    <row r="49" spans="1:17" s="41" customFormat="1" ht="10.199999999999999" hidden="1" x14ac:dyDescent="0.2">
      <c r="A49" s="41">
        <v>1</v>
      </c>
      <c r="B49" s="41">
        <v>1338</v>
      </c>
      <c r="C49" s="250">
        <v>45421</v>
      </c>
      <c r="D49" s="41" t="s">
        <v>2462</v>
      </c>
      <c r="E49" s="41" t="s">
        <v>532</v>
      </c>
      <c r="F49" s="41" t="s">
        <v>2019</v>
      </c>
      <c r="I49" s="41" t="s">
        <v>2355</v>
      </c>
      <c r="M49" s="59"/>
      <c r="N49" s="41">
        <v>145</v>
      </c>
      <c r="O49" s="76">
        <f t="shared" si="0"/>
        <v>59.508333333333347</v>
      </c>
      <c r="Q49" s="43" t="s">
        <v>2465</v>
      </c>
    </row>
    <row r="50" spans="1:17" s="41" customFormat="1" ht="10.199999999999999" hidden="1" x14ac:dyDescent="0.2">
      <c r="A50" s="41">
        <v>1</v>
      </c>
      <c r="B50" s="41">
        <v>1339</v>
      </c>
      <c r="C50" s="250">
        <v>45422</v>
      </c>
      <c r="D50" s="41" t="s">
        <v>2462</v>
      </c>
      <c r="E50" s="41" t="s">
        <v>532</v>
      </c>
      <c r="F50" s="41" t="s">
        <v>2019</v>
      </c>
      <c r="I50" s="41" t="s">
        <v>2355</v>
      </c>
      <c r="M50" s="59"/>
      <c r="N50" s="41">
        <v>173</v>
      </c>
      <c r="O50" s="76">
        <f t="shared" si="0"/>
        <v>62.39166666666668</v>
      </c>
      <c r="Q50" s="43" t="s">
        <v>2466</v>
      </c>
    </row>
    <row r="51" spans="1:17" s="41" customFormat="1" ht="10.199999999999999" hidden="1" x14ac:dyDescent="0.2">
      <c r="A51" s="41">
        <v>1</v>
      </c>
      <c r="B51" s="41">
        <v>1340</v>
      </c>
      <c r="C51" s="250">
        <v>45423</v>
      </c>
      <c r="D51" s="41" t="s">
        <v>2462</v>
      </c>
      <c r="E51" s="41" t="s">
        <v>532</v>
      </c>
      <c r="F51" s="41" t="s">
        <v>2019</v>
      </c>
      <c r="G51" s="41" t="s">
        <v>1830</v>
      </c>
      <c r="H51" s="41">
        <v>700</v>
      </c>
      <c r="I51" s="41" t="s">
        <v>2355</v>
      </c>
      <c r="M51" s="59"/>
      <c r="N51" s="41">
        <v>110</v>
      </c>
      <c r="O51" s="76">
        <f t="shared" si="0"/>
        <v>64.225000000000009</v>
      </c>
      <c r="Q51" s="43" t="s">
        <v>2468</v>
      </c>
    </row>
    <row r="52" spans="1:17" s="41" customFormat="1" ht="10.199999999999999" hidden="1" x14ac:dyDescent="0.2">
      <c r="A52" s="41">
        <v>1</v>
      </c>
      <c r="B52" s="41">
        <v>1341</v>
      </c>
      <c r="C52" s="250">
        <v>45429</v>
      </c>
      <c r="D52" s="41" t="s">
        <v>2284</v>
      </c>
      <c r="E52" s="41" t="s">
        <v>532</v>
      </c>
      <c r="F52" s="41" t="s">
        <v>2050</v>
      </c>
      <c r="G52" s="41" t="s">
        <v>1830</v>
      </c>
      <c r="H52" s="41">
        <v>700</v>
      </c>
      <c r="I52" s="41" t="s">
        <v>1650</v>
      </c>
      <c r="M52" s="59"/>
      <c r="N52" s="41">
        <v>8</v>
      </c>
      <c r="O52" s="76">
        <f t="shared" si="0"/>
        <v>64.358333333333348</v>
      </c>
      <c r="Q52" s="43"/>
    </row>
    <row r="53" spans="1:17" s="41" customFormat="1" ht="10.199999999999999" hidden="1" x14ac:dyDescent="0.2">
      <c r="A53" s="41">
        <v>1</v>
      </c>
      <c r="B53" s="41">
        <v>1342</v>
      </c>
      <c r="C53" s="250">
        <v>45434</v>
      </c>
      <c r="D53" s="41" t="s">
        <v>2469</v>
      </c>
      <c r="E53" s="41" t="s">
        <v>532</v>
      </c>
      <c r="F53" s="41" t="s">
        <v>2050</v>
      </c>
      <c r="I53" s="41" t="s">
        <v>1650</v>
      </c>
      <c r="M53" s="59"/>
      <c r="N53" s="41">
        <v>75</v>
      </c>
      <c r="O53" s="76">
        <f t="shared" si="0"/>
        <v>65.608333333333348</v>
      </c>
      <c r="Q53" s="43" t="s">
        <v>2470</v>
      </c>
    </row>
    <row r="54" spans="1:17" s="41" customFormat="1" ht="20.399999999999999" hidden="1" x14ac:dyDescent="0.2">
      <c r="A54" s="41">
        <v>1</v>
      </c>
      <c r="B54" s="41">
        <v>1343</v>
      </c>
      <c r="C54" s="250">
        <v>45437</v>
      </c>
      <c r="D54" s="41" t="s">
        <v>2429</v>
      </c>
      <c r="E54" s="41" t="s">
        <v>532</v>
      </c>
      <c r="F54" s="41" t="s">
        <v>2050</v>
      </c>
      <c r="I54" s="41" t="s">
        <v>1650</v>
      </c>
      <c r="M54" s="59"/>
      <c r="N54" s="41">
        <v>9</v>
      </c>
      <c r="O54" s="76">
        <f t="shared" si="0"/>
        <v>65.758333333333354</v>
      </c>
      <c r="Q54" s="43" t="s">
        <v>2472</v>
      </c>
    </row>
    <row r="55" spans="1:17" s="41" customFormat="1" ht="10.199999999999999" hidden="1" x14ac:dyDescent="0.2">
      <c r="A55" s="41">
        <v>1</v>
      </c>
      <c r="B55" s="41">
        <v>1344</v>
      </c>
      <c r="C55" s="250">
        <v>45437</v>
      </c>
      <c r="D55" s="41" t="s">
        <v>2284</v>
      </c>
      <c r="E55" s="41" t="s">
        <v>532</v>
      </c>
      <c r="F55" s="41" t="s">
        <v>2435</v>
      </c>
      <c r="G55" s="41" t="s">
        <v>1830</v>
      </c>
      <c r="H55" s="41">
        <v>850</v>
      </c>
      <c r="I55" s="41" t="s">
        <v>1650</v>
      </c>
      <c r="M55" s="59"/>
      <c r="N55" s="41">
        <v>50</v>
      </c>
      <c r="O55" s="76">
        <f t="shared" si="0"/>
        <v>66.591666666666683</v>
      </c>
      <c r="Q55" s="43" t="s">
        <v>2471</v>
      </c>
    </row>
    <row r="56" spans="1:17" s="41" customFormat="1" ht="30.6" hidden="1" x14ac:dyDescent="0.2">
      <c r="A56" s="41">
        <v>1</v>
      </c>
      <c r="B56" s="41">
        <v>1345</v>
      </c>
      <c r="C56" s="250">
        <v>45441</v>
      </c>
      <c r="D56" s="41" t="s">
        <v>2284</v>
      </c>
      <c r="E56" s="41" t="s">
        <v>532</v>
      </c>
      <c r="F56" s="41" t="s">
        <v>2442</v>
      </c>
      <c r="G56" s="41" t="s">
        <v>1830</v>
      </c>
      <c r="H56" s="41">
        <v>250</v>
      </c>
      <c r="I56" s="41" t="s">
        <v>2442</v>
      </c>
      <c r="M56" s="59"/>
      <c r="N56" s="41">
        <v>71</v>
      </c>
      <c r="O56" s="76">
        <f t="shared" si="0"/>
        <v>67.77500000000002</v>
      </c>
      <c r="Q56" s="43" t="s">
        <v>2473</v>
      </c>
    </row>
    <row r="57" spans="1:17" s="41" customFormat="1" ht="51" hidden="1" x14ac:dyDescent="0.2">
      <c r="A57" s="41">
        <v>1</v>
      </c>
      <c r="B57" s="41">
        <v>1346</v>
      </c>
      <c r="C57" s="250">
        <v>45443</v>
      </c>
      <c r="D57" s="41" t="s">
        <v>2284</v>
      </c>
      <c r="E57" s="41" t="s">
        <v>532</v>
      </c>
      <c r="F57" s="41" t="s">
        <v>2442</v>
      </c>
      <c r="G57" s="41" t="s">
        <v>1830</v>
      </c>
      <c r="H57" s="41">
        <v>250</v>
      </c>
      <c r="I57" s="41" t="s">
        <v>1650</v>
      </c>
      <c r="J57" s="41" t="s">
        <v>1182</v>
      </c>
      <c r="K57" s="41" t="s">
        <v>2474</v>
      </c>
      <c r="L57" s="41">
        <v>2040</v>
      </c>
      <c r="M57" s="59">
        <v>0.53333333333333333</v>
      </c>
      <c r="N57" s="41">
        <v>112</v>
      </c>
      <c r="O57" s="76">
        <f t="shared" si="0"/>
        <v>69.64166666666668</v>
      </c>
      <c r="Q57" s="43" t="s">
        <v>2475</v>
      </c>
    </row>
    <row r="58" spans="1:17" s="41" customFormat="1" ht="10.199999999999999" hidden="1" x14ac:dyDescent="0.2">
      <c r="A58" s="41">
        <v>1</v>
      </c>
      <c r="B58" s="41">
        <v>1347</v>
      </c>
      <c r="C58" s="250">
        <v>45446</v>
      </c>
      <c r="D58" s="41" t="s">
        <v>2284</v>
      </c>
      <c r="E58" s="41" t="s">
        <v>532</v>
      </c>
      <c r="F58" s="41" t="s">
        <v>2050</v>
      </c>
      <c r="I58" s="41" t="s">
        <v>1650</v>
      </c>
      <c r="J58" s="41" t="s">
        <v>1877</v>
      </c>
      <c r="M58" s="59">
        <v>0.5625</v>
      </c>
      <c r="N58" s="41">
        <v>82</v>
      </c>
      <c r="O58" s="76">
        <f t="shared" si="0"/>
        <v>71.00833333333334</v>
      </c>
      <c r="Q58" s="43"/>
    </row>
    <row r="59" spans="1:17" s="41" customFormat="1" ht="10.199999999999999" hidden="1" x14ac:dyDescent="0.2">
      <c r="A59" s="41">
        <v>1</v>
      </c>
      <c r="B59" s="41">
        <v>1348</v>
      </c>
      <c r="C59" s="250">
        <v>45447</v>
      </c>
      <c r="D59" s="41" t="s">
        <v>2284</v>
      </c>
      <c r="E59" s="41" t="s">
        <v>532</v>
      </c>
      <c r="F59" s="41" t="s">
        <v>2050</v>
      </c>
      <c r="I59" s="41" t="s">
        <v>1650</v>
      </c>
      <c r="J59" s="41" t="s">
        <v>1877</v>
      </c>
      <c r="M59" s="59">
        <v>0.43958333333333338</v>
      </c>
      <c r="N59" s="41">
        <v>30</v>
      </c>
      <c r="O59" s="76">
        <f t="shared" si="0"/>
        <v>71.50833333333334</v>
      </c>
      <c r="Q59" s="43"/>
    </row>
    <row r="60" spans="1:17" s="41" customFormat="1" ht="10.199999999999999" hidden="1" x14ac:dyDescent="0.2">
      <c r="A60" s="41">
        <v>1</v>
      </c>
      <c r="B60" s="41">
        <v>1349</v>
      </c>
      <c r="C60" s="250">
        <v>45448</v>
      </c>
      <c r="D60" s="41" t="s">
        <v>2284</v>
      </c>
      <c r="E60" s="41" t="s">
        <v>532</v>
      </c>
      <c r="F60" s="41" t="s">
        <v>2050</v>
      </c>
      <c r="I60" s="41" t="s">
        <v>1650</v>
      </c>
      <c r="J60" s="41" t="s">
        <v>1877</v>
      </c>
      <c r="M60" s="59">
        <v>0.54166666666666663</v>
      </c>
      <c r="N60" s="41">
        <v>41</v>
      </c>
      <c r="O60" s="76">
        <f t="shared" si="0"/>
        <v>72.191666666666677</v>
      </c>
      <c r="Q60" s="43"/>
    </row>
    <row r="61" spans="1:17" s="41" customFormat="1" ht="10.199999999999999" hidden="1" x14ac:dyDescent="0.2">
      <c r="A61" s="41">
        <v>1</v>
      </c>
      <c r="B61" s="41">
        <v>1350</v>
      </c>
      <c r="C61" s="250">
        <v>45448</v>
      </c>
      <c r="D61" s="41" t="s">
        <v>2284</v>
      </c>
      <c r="E61" s="41" t="s">
        <v>532</v>
      </c>
      <c r="F61" s="41" t="s">
        <v>2050</v>
      </c>
      <c r="I61" s="41" t="s">
        <v>1650</v>
      </c>
      <c r="J61" s="41" t="s">
        <v>1182</v>
      </c>
      <c r="M61" s="59">
        <v>0.58680555555555558</v>
      </c>
      <c r="N61" s="41">
        <v>180</v>
      </c>
      <c r="O61" s="76">
        <f t="shared" si="0"/>
        <v>75.191666666666677</v>
      </c>
      <c r="P61" s="41">
        <v>25</v>
      </c>
      <c r="Q61" s="43"/>
    </row>
    <row r="62" spans="1:17" s="41" customFormat="1" ht="10.199999999999999" hidden="1" x14ac:dyDescent="0.2">
      <c r="A62" s="41">
        <v>1</v>
      </c>
      <c r="B62" s="41">
        <v>1351</v>
      </c>
      <c r="C62" s="250">
        <v>45449</v>
      </c>
      <c r="D62" s="41" t="s">
        <v>2284</v>
      </c>
      <c r="E62" s="41" t="s">
        <v>532</v>
      </c>
      <c r="F62" s="41" t="s">
        <v>2050</v>
      </c>
      <c r="I62" s="41" t="s">
        <v>1650</v>
      </c>
      <c r="J62" s="41" t="s">
        <v>1877</v>
      </c>
      <c r="M62" s="59">
        <v>0.54513888888888895</v>
      </c>
      <c r="N62" s="41">
        <v>102</v>
      </c>
      <c r="O62" s="76">
        <f t="shared" si="0"/>
        <v>76.89166666666668</v>
      </c>
      <c r="Q62" s="43"/>
    </row>
    <row r="63" spans="1:17" s="41" customFormat="1" ht="30.6" hidden="1" x14ac:dyDescent="0.2">
      <c r="A63" s="41">
        <v>1</v>
      </c>
      <c r="B63" s="41">
        <v>1352</v>
      </c>
      <c r="C63" s="250">
        <v>45456</v>
      </c>
      <c r="D63" s="41" t="s">
        <v>2284</v>
      </c>
      <c r="E63" s="41" t="s">
        <v>532</v>
      </c>
      <c r="F63" s="41" t="s">
        <v>2050</v>
      </c>
      <c r="G63" s="41" t="s">
        <v>1830</v>
      </c>
      <c r="H63" s="41">
        <v>700</v>
      </c>
      <c r="I63" s="41" t="s">
        <v>1650</v>
      </c>
      <c r="J63" s="41" t="s">
        <v>1182</v>
      </c>
      <c r="K63" s="41" t="s">
        <v>2476</v>
      </c>
      <c r="L63" s="41">
        <v>1750</v>
      </c>
      <c r="M63" s="59">
        <v>0.53125</v>
      </c>
      <c r="N63" s="41">
        <v>165</v>
      </c>
      <c r="O63" s="76">
        <f t="shared" si="0"/>
        <v>79.64166666666668</v>
      </c>
      <c r="P63" s="41">
        <v>38</v>
      </c>
      <c r="Q63" s="43" t="s">
        <v>2477</v>
      </c>
    </row>
    <row r="64" spans="1:17" s="41" customFormat="1" ht="10.199999999999999" hidden="1" x14ac:dyDescent="0.2">
      <c r="A64" s="41">
        <v>1</v>
      </c>
      <c r="B64" s="41">
        <v>1353</v>
      </c>
      <c r="C64" s="250">
        <v>45457</v>
      </c>
      <c r="D64" s="41" t="s">
        <v>2284</v>
      </c>
      <c r="E64" s="41" t="s">
        <v>532</v>
      </c>
      <c r="F64" s="41" t="s">
        <v>1836</v>
      </c>
      <c r="G64" s="41" t="s">
        <v>1830</v>
      </c>
      <c r="H64" s="41">
        <v>1300</v>
      </c>
      <c r="I64" s="41" t="s">
        <v>1650</v>
      </c>
      <c r="J64" s="41" t="s">
        <v>1877</v>
      </c>
      <c r="M64" s="59">
        <v>0.56458333333333333</v>
      </c>
      <c r="N64" s="41">
        <v>40</v>
      </c>
      <c r="O64" s="76">
        <f t="shared" si="0"/>
        <v>80.308333333333351</v>
      </c>
      <c r="Q64" s="43" t="s">
        <v>2478</v>
      </c>
    </row>
    <row r="65" spans="1:17" s="41" customFormat="1" ht="81.599999999999994" x14ac:dyDescent="0.2">
      <c r="A65" s="41">
        <v>1</v>
      </c>
      <c r="B65" s="41">
        <v>1354</v>
      </c>
      <c r="C65" s="250">
        <v>45459</v>
      </c>
      <c r="D65" s="41" t="s">
        <v>2479</v>
      </c>
      <c r="E65" s="41" t="s">
        <v>532</v>
      </c>
      <c r="F65" s="41" t="s">
        <v>2050</v>
      </c>
      <c r="G65" s="41" t="s">
        <v>2193</v>
      </c>
      <c r="I65" s="41" t="s">
        <v>1650</v>
      </c>
      <c r="J65" s="41" t="s">
        <v>1182</v>
      </c>
      <c r="K65" s="41" t="s">
        <v>1762</v>
      </c>
      <c r="L65" s="41">
        <v>2068</v>
      </c>
      <c r="M65" s="59">
        <v>0.51874999999999993</v>
      </c>
      <c r="N65" s="41">
        <v>249</v>
      </c>
      <c r="O65" s="76">
        <f t="shared" si="0"/>
        <v>84.458333333333357</v>
      </c>
      <c r="P65" s="41">
        <v>50</v>
      </c>
      <c r="Q65" s="43" t="s">
        <v>2480</v>
      </c>
    </row>
    <row r="66" spans="1:17" s="41" customFormat="1" ht="10.199999999999999" x14ac:dyDescent="0.2">
      <c r="A66" s="41">
        <v>1</v>
      </c>
      <c r="B66" s="41">
        <v>1355</v>
      </c>
      <c r="C66" s="250">
        <v>45460</v>
      </c>
      <c r="D66" s="41" t="s">
        <v>2479</v>
      </c>
      <c r="E66" s="41" t="s">
        <v>532</v>
      </c>
      <c r="F66" s="41" t="s">
        <v>2050</v>
      </c>
      <c r="G66" s="41" t="s">
        <v>2193</v>
      </c>
      <c r="I66" s="41" t="s">
        <v>1650</v>
      </c>
      <c r="M66" s="59"/>
      <c r="N66" s="41">
        <v>44</v>
      </c>
      <c r="O66" s="76">
        <f t="shared" si="0"/>
        <v>85.191666666666691</v>
      </c>
      <c r="Q66" s="43" t="s">
        <v>2486</v>
      </c>
    </row>
    <row r="67" spans="1:17" s="41" customFormat="1" ht="30.6" x14ac:dyDescent="0.2">
      <c r="A67" s="41">
        <v>1</v>
      </c>
      <c r="B67" s="41">
        <v>1356</v>
      </c>
      <c r="C67" s="250">
        <v>45467</v>
      </c>
      <c r="D67" s="41" t="s">
        <v>2479</v>
      </c>
      <c r="E67" s="41" t="s">
        <v>532</v>
      </c>
      <c r="F67" s="41" t="s">
        <v>2050</v>
      </c>
      <c r="G67" s="41" t="s">
        <v>2193</v>
      </c>
      <c r="I67" s="41" t="s">
        <v>1650</v>
      </c>
      <c r="J67" s="41" t="s">
        <v>1182</v>
      </c>
      <c r="K67" s="41" t="s">
        <v>2487</v>
      </c>
      <c r="L67" s="41">
        <v>1930</v>
      </c>
      <c r="M67" s="59">
        <v>0.50972222222222219</v>
      </c>
      <c r="N67" s="41">
        <v>258</v>
      </c>
      <c r="O67" s="76">
        <f t="shared" si="0"/>
        <v>89.491666666666688</v>
      </c>
      <c r="P67" s="41">
        <v>71</v>
      </c>
      <c r="Q67" s="43" t="s">
        <v>2488</v>
      </c>
    </row>
    <row r="68" spans="1:17" s="41" customFormat="1" ht="40.799999999999997" x14ac:dyDescent="0.2">
      <c r="A68" s="41">
        <v>1</v>
      </c>
      <c r="B68" s="41">
        <v>1357</v>
      </c>
      <c r="C68" s="250">
        <v>45468</v>
      </c>
      <c r="D68" s="41" t="s">
        <v>2479</v>
      </c>
      <c r="E68" s="41" t="s">
        <v>532</v>
      </c>
      <c r="F68" s="41" t="s">
        <v>2050</v>
      </c>
      <c r="G68" s="41" t="s">
        <v>2193</v>
      </c>
      <c r="I68" s="41" t="s">
        <v>1650</v>
      </c>
      <c r="J68" s="41" t="s">
        <v>1182</v>
      </c>
      <c r="K68" s="41" t="s">
        <v>2487</v>
      </c>
      <c r="L68" s="41">
        <v>2278</v>
      </c>
      <c r="M68" s="59">
        <v>0.53125</v>
      </c>
      <c r="N68" s="41">
        <v>251</v>
      </c>
      <c r="O68" s="76">
        <f t="shared" ref="O68:O131" si="1">O67+N68/60</f>
        <v>93.675000000000026</v>
      </c>
      <c r="P68" s="41">
        <v>59</v>
      </c>
      <c r="Q68" s="43" t="s">
        <v>2489</v>
      </c>
    </row>
    <row r="69" spans="1:17" s="41" customFormat="1" ht="10.199999999999999" x14ac:dyDescent="0.2">
      <c r="A69" s="41">
        <v>1</v>
      </c>
      <c r="B69" s="41">
        <v>1358</v>
      </c>
      <c r="C69" s="250">
        <v>45469</v>
      </c>
      <c r="D69" s="41" t="s">
        <v>2479</v>
      </c>
      <c r="E69" s="41" t="s">
        <v>532</v>
      </c>
      <c r="F69" s="41" t="s">
        <v>2050</v>
      </c>
      <c r="G69" s="41" t="s">
        <v>2193</v>
      </c>
      <c r="I69" s="41" t="s">
        <v>1650</v>
      </c>
      <c r="J69" s="41" t="s">
        <v>1877</v>
      </c>
      <c r="M69" s="59">
        <v>0.50694444444444442</v>
      </c>
      <c r="N69" s="41">
        <v>82</v>
      </c>
      <c r="O69" s="76">
        <f t="shared" si="1"/>
        <v>95.041666666666686</v>
      </c>
      <c r="Q69" s="43"/>
    </row>
    <row r="70" spans="1:17" s="41" customFormat="1" ht="30.6" x14ac:dyDescent="0.2">
      <c r="A70" s="41">
        <v>1</v>
      </c>
      <c r="B70" s="41">
        <v>1359</v>
      </c>
      <c r="C70" s="250">
        <v>45478</v>
      </c>
      <c r="D70" s="41" t="s">
        <v>2479</v>
      </c>
      <c r="E70" s="41" t="s">
        <v>532</v>
      </c>
      <c r="F70" s="41" t="s">
        <v>2050</v>
      </c>
      <c r="G70" s="41" t="s">
        <v>2193</v>
      </c>
      <c r="I70" s="41" t="s">
        <v>1650</v>
      </c>
      <c r="J70" s="41" t="s">
        <v>1877</v>
      </c>
      <c r="M70" s="59">
        <v>0.5756944444444444</v>
      </c>
      <c r="N70" s="41">
        <v>47</v>
      </c>
      <c r="O70" s="76">
        <f t="shared" si="1"/>
        <v>95.825000000000017</v>
      </c>
      <c r="Q70" s="43" t="s">
        <v>2490</v>
      </c>
    </row>
    <row r="71" spans="1:17" s="41" customFormat="1" ht="10.199999999999999" x14ac:dyDescent="0.2">
      <c r="B71" s="41">
        <v>1360</v>
      </c>
      <c r="C71" s="250">
        <v>45481</v>
      </c>
      <c r="D71" s="41" t="s">
        <v>2479</v>
      </c>
      <c r="E71" s="41" t="s">
        <v>532</v>
      </c>
      <c r="F71" s="41" t="s">
        <v>1836</v>
      </c>
      <c r="G71" s="41" t="s">
        <v>1830</v>
      </c>
      <c r="H71" s="41">
        <v>400</v>
      </c>
      <c r="I71" s="41" t="s">
        <v>2406</v>
      </c>
      <c r="J71" s="41" t="s">
        <v>1877</v>
      </c>
      <c r="L71" s="41">
        <v>1953</v>
      </c>
      <c r="M71" s="59">
        <v>0.54722222222222217</v>
      </c>
      <c r="N71" s="41">
        <v>56</v>
      </c>
      <c r="O71" s="76">
        <f t="shared" si="1"/>
        <v>96.758333333333354</v>
      </c>
      <c r="Q71" s="43"/>
    </row>
    <row r="72" spans="1:17" s="41" customFormat="1" ht="10.199999999999999" x14ac:dyDescent="0.2">
      <c r="A72" s="41">
        <v>1</v>
      </c>
      <c r="B72" s="41">
        <v>1361</v>
      </c>
      <c r="C72" s="250">
        <v>45483</v>
      </c>
      <c r="D72" s="41" t="s">
        <v>2479</v>
      </c>
      <c r="E72" s="41" t="s">
        <v>532</v>
      </c>
      <c r="F72" s="41" t="s">
        <v>1836</v>
      </c>
      <c r="G72" s="41" t="s">
        <v>2193</v>
      </c>
      <c r="H72" s="41">
        <v>0</v>
      </c>
      <c r="I72" s="41" t="s">
        <v>1650</v>
      </c>
      <c r="J72" s="41" t="s">
        <v>1877</v>
      </c>
      <c r="L72" s="41">
        <v>1753</v>
      </c>
      <c r="M72" s="59">
        <v>0.52638888888888891</v>
      </c>
      <c r="N72" s="41">
        <v>194</v>
      </c>
      <c r="O72" s="76">
        <f t="shared" si="1"/>
        <v>99.991666666666688</v>
      </c>
      <c r="Q72" s="43"/>
    </row>
    <row r="73" spans="1:17" s="41" customFormat="1" ht="10.199999999999999" x14ac:dyDescent="0.2">
      <c r="A73" s="41">
        <v>1</v>
      </c>
      <c r="B73" s="41">
        <v>1362</v>
      </c>
      <c r="C73" s="250">
        <v>45484</v>
      </c>
      <c r="D73" s="41" t="s">
        <v>2479</v>
      </c>
      <c r="E73" s="41" t="s">
        <v>532</v>
      </c>
      <c r="F73" s="41" t="s">
        <v>1836</v>
      </c>
      <c r="G73" s="41" t="s">
        <v>1830</v>
      </c>
      <c r="H73" s="41">
        <v>1100</v>
      </c>
      <c r="I73" s="41" t="s">
        <v>1650</v>
      </c>
      <c r="J73" s="41" t="s">
        <v>1877</v>
      </c>
      <c r="L73" s="41">
        <v>1708</v>
      </c>
      <c r="M73" s="59">
        <v>0.55694444444444446</v>
      </c>
      <c r="N73" s="41">
        <v>102</v>
      </c>
      <c r="O73" s="76">
        <f t="shared" si="1"/>
        <v>101.69166666666669</v>
      </c>
      <c r="Q73" s="43"/>
    </row>
    <row r="74" spans="1:17" s="41" customFormat="1" ht="30.6" x14ac:dyDescent="0.2">
      <c r="A74" s="41">
        <v>1</v>
      </c>
      <c r="B74" s="41">
        <v>1363</v>
      </c>
      <c r="C74" s="250">
        <v>45396</v>
      </c>
      <c r="D74" s="41" t="s">
        <v>2479</v>
      </c>
      <c r="E74" s="41" t="s">
        <v>532</v>
      </c>
      <c r="F74" s="41" t="s">
        <v>2442</v>
      </c>
      <c r="G74" s="41" t="s">
        <v>1830</v>
      </c>
      <c r="H74" s="41">
        <v>220</v>
      </c>
      <c r="I74" s="41" t="s">
        <v>2443</v>
      </c>
      <c r="J74" s="41" t="s">
        <v>1182</v>
      </c>
      <c r="L74" s="41">
        <v>1620</v>
      </c>
      <c r="M74" s="59">
        <v>0.59444444444444444</v>
      </c>
      <c r="N74" s="41">
        <v>125</v>
      </c>
      <c r="O74" s="76">
        <f t="shared" si="1"/>
        <v>103.77500000000002</v>
      </c>
      <c r="P74" s="41">
        <v>20</v>
      </c>
      <c r="Q74" s="43" t="s">
        <v>2491</v>
      </c>
    </row>
    <row r="75" spans="1:17" s="41" customFormat="1" ht="20.399999999999999" x14ac:dyDescent="0.2">
      <c r="A75" s="41">
        <v>1</v>
      </c>
      <c r="B75" s="41">
        <v>1364</v>
      </c>
      <c r="C75" s="250">
        <v>45490</v>
      </c>
      <c r="D75" s="41" t="s">
        <v>2479</v>
      </c>
      <c r="E75" s="41" t="s">
        <v>532</v>
      </c>
      <c r="F75" s="41" t="s">
        <v>2050</v>
      </c>
      <c r="G75" s="41" t="s">
        <v>1830</v>
      </c>
      <c r="H75" s="41">
        <v>700</v>
      </c>
      <c r="I75" s="41" t="s">
        <v>1650</v>
      </c>
      <c r="J75" s="41" t="s">
        <v>1877</v>
      </c>
      <c r="L75" s="41">
        <v>1450</v>
      </c>
      <c r="M75" s="59">
        <v>0.53194444444444444</v>
      </c>
      <c r="N75" s="41">
        <v>97</v>
      </c>
      <c r="O75" s="76">
        <f t="shared" si="1"/>
        <v>105.39166666666668</v>
      </c>
      <c r="Q75" s="43" t="s">
        <v>2492</v>
      </c>
    </row>
    <row r="76" spans="1:17" s="41" customFormat="1" ht="30.6" x14ac:dyDescent="0.2">
      <c r="A76" s="41">
        <v>1</v>
      </c>
      <c r="B76" s="41">
        <v>1365</v>
      </c>
      <c r="C76" s="250">
        <v>45491</v>
      </c>
      <c r="D76" s="41" t="s">
        <v>2479</v>
      </c>
      <c r="E76" s="41" t="s">
        <v>532</v>
      </c>
      <c r="F76" s="41" t="s">
        <v>2050</v>
      </c>
      <c r="G76" s="41" t="s">
        <v>2193</v>
      </c>
      <c r="I76" s="41" t="s">
        <v>1836</v>
      </c>
      <c r="L76" s="41">
        <v>1780</v>
      </c>
      <c r="M76" s="59">
        <v>0.54166666666666663</v>
      </c>
      <c r="N76" s="41">
        <v>136</v>
      </c>
      <c r="O76" s="76">
        <f t="shared" si="1"/>
        <v>107.65833333333335</v>
      </c>
      <c r="Q76" s="43" t="s">
        <v>2493</v>
      </c>
    </row>
    <row r="77" spans="1:17" s="41" customFormat="1" ht="20.399999999999999" x14ac:dyDescent="0.2">
      <c r="A77" s="41">
        <v>1</v>
      </c>
      <c r="B77" s="41">
        <v>1366</v>
      </c>
      <c r="C77" s="250">
        <v>45491</v>
      </c>
      <c r="D77" s="41" t="s">
        <v>2479</v>
      </c>
      <c r="E77" s="41" t="s">
        <v>532</v>
      </c>
      <c r="F77" s="41" t="s">
        <v>1836</v>
      </c>
      <c r="I77" s="41" t="s">
        <v>1650</v>
      </c>
      <c r="L77" s="41">
        <v>1850</v>
      </c>
      <c r="M77" s="59">
        <v>0.65277777777777779</v>
      </c>
      <c r="N77" s="41">
        <v>76</v>
      </c>
      <c r="O77" s="76">
        <f t="shared" si="1"/>
        <v>108.92500000000001</v>
      </c>
      <c r="Q77" s="43" t="s">
        <v>2494</v>
      </c>
    </row>
    <row r="78" spans="1:17" s="41" customFormat="1" ht="10.199999999999999" x14ac:dyDescent="0.2">
      <c r="A78" s="41">
        <v>1</v>
      </c>
      <c r="B78" s="41">
        <v>1367</v>
      </c>
      <c r="C78" s="250">
        <v>45492</v>
      </c>
      <c r="D78" s="41" t="s">
        <v>2479</v>
      </c>
      <c r="E78" s="41" t="s">
        <v>532</v>
      </c>
      <c r="F78" s="41" t="s">
        <v>2050</v>
      </c>
      <c r="G78" s="41" t="s">
        <v>2193</v>
      </c>
      <c r="I78" s="41" t="s">
        <v>2495</v>
      </c>
      <c r="M78" s="59"/>
      <c r="N78" s="41">
        <v>65</v>
      </c>
      <c r="O78" s="76">
        <f t="shared" si="1"/>
        <v>110.00833333333334</v>
      </c>
      <c r="Q78" s="43"/>
    </row>
    <row r="79" spans="1:17" s="41" customFormat="1" ht="10.199999999999999" x14ac:dyDescent="0.2">
      <c r="A79" s="41">
        <v>1</v>
      </c>
      <c r="B79" s="41">
        <v>1368</v>
      </c>
      <c r="C79" s="250">
        <v>45497</v>
      </c>
      <c r="D79" s="41" t="s">
        <v>2479</v>
      </c>
      <c r="E79" s="41" t="s">
        <v>532</v>
      </c>
      <c r="F79" s="41" t="s">
        <v>2050</v>
      </c>
      <c r="G79" s="41" t="s">
        <v>2193</v>
      </c>
      <c r="I79" s="41" t="s">
        <v>1650</v>
      </c>
      <c r="M79" s="59"/>
      <c r="N79" s="41">
        <v>13</v>
      </c>
      <c r="O79" s="76">
        <f t="shared" si="1"/>
        <v>110.22500000000001</v>
      </c>
      <c r="Q79" s="43"/>
    </row>
    <row r="80" spans="1:17" s="41" customFormat="1" ht="10.199999999999999" x14ac:dyDescent="0.2">
      <c r="A80" s="41">
        <v>1</v>
      </c>
      <c r="B80" s="41">
        <v>1369</v>
      </c>
      <c r="C80" s="250">
        <v>45497</v>
      </c>
      <c r="D80" s="41" t="s">
        <v>2479</v>
      </c>
      <c r="E80" s="41" t="s">
        <v>532</v>
      </c>
      <c r="F80" s="41" t="s">
        <v>2050</v>
      </c>
      <c r="G80" s="41" t="s">
        <v>1830</v>
      </c>
      <c r="H80" s="41">
        <v>700</v>
      </c>
      <c r="I80" s="41" t="s">
        <v>1650</v>
      </c>
      <c r="M80" s="59"/>
      <c r="N80" s="41">
        <v>13</v>
      </c>
      <c r="O80" s="76">
        <f t="shared" si="1"/>
        <v>110.44166666666668</v>
      </c>
      <c r="Q80" s="43"/>
    </row>
    <row r="81" spans="1:17" s="41" customFormat="1" ht="10.199999999999999" x14ac:dyDescent="0.2">
      <c r="A81" s="41">
        <v>1</v>
      </c>
      <c r="B81" s="41">
        <v>1370</v>
      </c>
      <c r="C81" s="250">
        <v>45498</v>
      </c>
      <c r="D81" s="41" t="s">
        <v>2479</v>
      </c>
      <c r="E81" s="41" t="s">
        <v>532</v>
      </c>
      <c r="F81" s="41" t="s">
        <v>2050</v>
      </c>
      <c r="G81" s="41" t="s">
        <v>1830</v>
      </c>
      <c r="H81" s="41">
        <v>700</v>
      </c>
      <c r="I81" s="41" t="s">
        <v>1650</v>
      </c>
      <c r="M81" s="59"/>
      <c r="N81" s="41">
        <v>37</v>
      </c>
      <c r="O81" s="76">
        <f t="shared" si="1"/>
        <v>111.05833333333334</v>
      </c>
      <c r="Q81" s="43"/>
    </row>
    <row r="82" spans="1:17" s="41" customFormat="1" ht="10.199999999999999" x14ac:dyDescent="0.2">
      <c r="A82" s="41">
        <v>1</v>
      </c>
      <c r="B82" s="41">
        <v>1371</v>
      </c>
      <c r="C82" s="250">
        <v>45499</v>
      </c>
      <c r="D82" s="41" t="s">
        <v>2479</v>
      </c>
      <c r="E82" s="41" t="s">
        <v>532</v>
      </c>
      <c r="F82" s="41" t="s">
        <v>2050</v>
      </c>
      <c r="G82" s="41" t="s">
        <v>2193</v>
      </c>
      <c r="I82" s="41" t="s">
        <v>1650</v>
      </c>
      <c r="M82" s="59"/>
      <c r="N82" s="41">
        <v>21</v>
      </c>
      <c r="O82" s="76">
        <f t="shared" si="1"/>
        <v>111.40833333333333</v>
      </c>
      <c r="Q82" s="43"/>
    </row>
    <row r="83" spans="1:17" s="41" customFormat="1" ht="10.199999999999999" x14ac:dyDescent="0.2">
      <c r="A83" s="41">
        <v>1</v>
      </c>
      <c r="B83" s="41">
        <v>1372</v>
      </c>
      <c r="C83" s="250">
        <v>45499</v>
      </c>
      <c r="D83" s="41" t="s">
        <v>2479</v>
      </c>
      <c r="E83" s="41" t="s">
        <v>532</v>
      </c>
      <c r="F83" s="41" t="s">
        <v>2050</v>
      </c>
      <c r="G83" s="41" t="s">
        <v>2193</v>
      </c>
      <c r="I83" s="41" t="s">
        <v>1650</v>
      </c>
      <c r="M83" s="59"/>
      <c r="N83" s="41">
        <v>53</v>
      </c>
      <c r="O83" s="76">
        <f t="shared" si="1"/>
        <v>112.29166666666667</v>
      </c>
      <c r="Q83" s="43"/>
    </row>
    <row r="84" spans="1:17" s="41" customFormat="1" ht="51" x14ac:dyDescent="0.2">
      <c r="A84" s="41">
        <v>1</v>
      </c>
      <c r="B84" s="41">
        <v>1373</v>
      </c>
      <c r="C84" s="250">
        <v>45502</v>
      </c>
      <c r="D84" s="41" t="s">
        <v>2479</v>
      </c>
      <c r="E84" s="41" t="s">
        <v>532</v>
      </c>
      <c r="F84" s="41" t="s">
        <v>2496</v>
      </c>
      <c r="G84" s="41" t="s">
        <v>1830</v>
      </c>
      <c r="H84" s="41">
        <v>200</v>
      </c>
      <c r="I84" s="41" t="s">
        <v>1620</v>
      </c>
      <c r="J84" s="41" t="s">
        <v>1182</v>
      </c>
      <c r="L84" s="41">
        <v>4411</v>
      </c>
      <c r="M84" s="59">
        <v>0.48402777777777778</v>
      </c>
      <c r="N84" s="41">
        <v>324</v>
      </c>
      <c r="O84" s="76">
        <f t="shared" si="1"/>
        <v>117.69166666666668</v>
      </c>
      <c r="P84" s="41">
        <v>80</v>
      </c>
      <c r="Q84" s="43" t="s">
        <v>2497</v>
      </c>
    </row>
    <row r="85" spans="1:17" s="41" customFormat="1" ht="10.199999999999999" x14ac:dyDescent="0.2">
      <c r="A85" s="41">
        <v>1</v>
      </c>
      <c r="B85" s="41">
        <v>1374</v>
      </c>
      <c r="C85" s="250">
        <v>45504</v>
      </c>
      <c r="D85" s="41" t="s">
        <v>2479</v>
      </c>
      <c r="F85" s="41" t="s">
        <v>2050</v>
      </c>
      <c r="M85" s="59"/>
      <c r="N85" s="41">
        <v>107</v>
      </c>
      <c r="O85" s="76">
        <f t="shared" si="1"/>
        <v>119.47500000000001</v>
      </c>
      <c r="Q85" s="43"/>
    </row>
    <row r="86" spans="1:17" s="41" customFormat="1" ht="10.199999999999999" x14ac:dyDescent="0.2">
      <c r="A86" s="41">
        <v>1</v>
      </c>
      <c r="B86" s="41">
        <v>1375</v>
      </c>
      <c r="C86" s="250">
        <v>45508</v>
      </c>
      <c r="D86" s="41" t="s">
        <v>2479</v>
      </c>
      <c r="F86" s="41" t="s">
        <v>2050</v>
      </c>
      <c r="M86" s="59"/>
      <c r="N86" s="41">
        <v>14</v>
      </c>
      <c r="O86" s="76">
        <f t="shared" si="1"/>
        <v>119.70833333333334</v>
      </c>
      <c r="Q86" s="43"/>
    </row>
    <row r="87" spans="1:17" s="41" customFormat="1" ht="10.199999999999999" x14ac:dyDescent="0.2">
      <c r="A87" s="41">
        <v>1</v>
      </c>
      <c r="B87" s="41">
        <v>1376</v>
      </c>
      <c r="C87" s="250">
        <v>45509</v>
      </c>
      <c r="D87" s="41" t="s">
        <v>2479</v>
      </c>
      <c r="F87" s="41" t="s">
        <v>2019</v>
      </c>
      <c r="M87" s="59"/>
      <c r="N87" s="41">
        <v>79</v>
      </c>
      <c r="O87" s="76">
        <f t="shared" si="1"/>
        <v>121.02500000000001</v>
      </c>
      <c r="Q87" s="43"/>
    </row>
    <row r="88" spans="1:17" s="41" customFormat="1" ht="10.199999999999999" x14ac:dyDescent="0.2">
      <c r="A88" s="41">
        <v>1</v>
      </c>
      <c r="B88" s="41">
        <v>1377</v>
      </c>
      <c r="C88" s="250">
        <v>45509</v>
      </c>
      <c r="D88" s="41" t="s">
        <v>2479</v>
      </c>
      <c r="F88" s="41" t="s">
        <v>2435</v>
      </c>
      <c r="M88" s="59"/>
      <c r="N88" s="41">
        <v>45</v>
      </c>
      <c r="O88" s="76">
        <f t="shared" si="1"/>
        <v>121.77500000000001</v>
      </c>
      <c r="Q88" s="43"/>
    </row>
    <row r="89" spans="1:17" s="41" customFormat="1" ht="10.199999999999999" hidden="1" x14ac:dyDescent="0.2">
      <c r="A89" s="41">
        <v>4</v>
      </c>
      <c r="B89" s="41">
        <v>1378</v>
      </c>
      <c r="C89" s="250">
        <v>45510</v>
      </c>
      <c r="D89" s="41" t="s">
        <v>2462</v>
      </c>
      <c r="F89" s="41" t="s">
        <v>2050</v>
      </c>
      <c r="M89" s="59"/>
      <c r="N89" s="41">
        <v>43</v>
      </c>
      <c r="O89" s="76">
        <f t="shared" si="1"/>
        <v>122.49166666666667</v>
      </c>
      <c r="Q89" s="43" t="s">
        <v>2498</v>
      </c>
    </row>
    <row r="90" spans="1:17" s="41" customFormat="1" ht="10.199999999999999" x14ac:dyDescent="0.2">
      <c r="A90" s="41">
        <v>1</v>
      </c>
      <c r="B90" s="41">
        <v>1382</v>
      </c>
      <c r="C90" s="250">
        <v>45512</v>
      </c>
      <c r="D90" s="41" t="s">
        <v>2479</v>
      </c>
      <c r="F90" s="41" t="s">
        <v>2050</v>
      </c>
      <c r="M90" s="59"/>
      <c r="N90" s="41">
        <v>15</v>
      </c>
      <c r="O90" s="76">
        <f t="shared" si="1"/>
        <v>122.74166666666667</v>
      </c>
      <c r="Q90" s="43"/>
    </row>
    <row r="91" spans="1:17" s="41" customFormat="1" ht="10.199999999999999" x14ac:dyDescent="0.2">
      <c r="A91" s="41">
        <v>1</v>
      </c>
      <c r="B91" s="41">
        <v>1383</v>
      </c>
      <c r="C91" s="250">
        <v>45513</v>
      </c>
      <c r="D91" s="41" t="s">
        <v>2479</v>
      </c>
      <c r="F91" s="41" t="s">
        <v>2050</v>
      </c>
      <c r="M91" s="59"/>
      <c r="N91" s="41">
        <v>13</v>
      </c>
      <c r="O91" s="76">
        <f t="shared" si="1"/>
        <v>122.95833333333334</v>
      </c>
      <c r="Q91" s="43"/>
    </row>
    <row r="92" spans="1:17" s="41" customFormat="1" ht="20.399999999999999" x14ac:dyDescent="0.2">
      <c r="A92" s="41">
        <v>1</v>
      </c>
      <c r="B92" s="41">
        <v>1384</v>
      </c>
      <c r="C92" s="250">
        <v>45514</v>
      </c>
      <c r="D92" s="41" t="s">
        <v>2479</v>
      </c>
      <c r="E92" s="41" t="s">
        <v>2499</v>
      </c>
      <c r="F92" s="41" t="s">
        <v>2500</v>
      </c>
      <c r="G92" s="41" t="s">
        <v>2501</v>
      </c>
      <c r="I92" s="41" t="s">
        <v>2500</v>
      </c>
      <c r="J92" s="41" t="s">
        <v>2502</v>
      </c>
      <c r="L92" s="41">
        <v>1512</v>
      </c>
      <c r="M92" s="59">
        <v>0.75486111111111109</v>
      </c>
      <c r="N92" s="41">
        <v>105</v>
      </c>
      <c r="O92" s="76">
        <f t="shared" si="1"/>
        <v>124.70833333333334</v>
      </c>
      <c r="Q92" s="43" t="s">
        <v>2503</v>
      </c>
    </row>
    <row r="93" spans="1:17" s="41" customFormat="1" ht="10.199999999999999" x14ac:dyDescent="0.2">
      <c r="A93" s="41">
        <v>1</v>
      </c>
      <c r="B93" s="41">
        <v>1385</v>
      </c>
      <c r="C93" s="250">
        <v>45516</v>
      </c>
      <c r="D93" s="41" t="s">
        <v>2479</v>
      </c>
      <c r="E93" s="41" t="s">
        <v>2504</v>
      </c>
      <c r="F93" s="41" t="s">
        <v>2509</v>
      </c>
      <c r="G93" s="41" t="s">
        <v>2506</v>
      </c>
      <c r="H93" s="41">
        <v>700</v>
      </c>
      <c r="I93" s="41" t="s">
        <v>2505</v>
      </c>
      <c r="J93" s="41" t="s">
        <v>1877</v>
      </c>
      <c r="L93" s="285"/>
      <c r="M93" s="59">
        <v>0.48958333333333331</v>
      </c>
      <c r="N93" s="41">
        <v>22</v>
      </c>
      <c r="O93" s="76">
        <f t="shared" si="1"/>
        <v>125.075</v>
      </c>
      <c r="Q93" s="43" t="s">
        <v>2507</v>
      </c>
    </row>
    <row r="94" spans="1:17" s="41" customFormat="1" ht="10.199999999999999" x14ac:dyDescent="0.2">
      <c r="A94" s="41">
        <v>1</v>
      </c>
      <c r="B94" s="41">
        <v>1386</v>
      </c>
      <c r="C94" s="250">
        <v>45517</v>
      </c>
      <c r="D94" s="41" t="s">
        <v>2479</v>
      </c>
      <c r="E94" s="41" t="s">
        <v>2504</v>
      </c>
      <c r="F94" s="41" t="s">
        <v>2508</v>
      </c>
      <c r="G94" s="41" t="s">
        <v>2511</v>
      </c>
      <c r="H94" s="41">
        <v>600</v>
      </c>
      <c r="I94" s="41" t="s">
        <v>2510</v>
      </c>
      <c r="J94" s="41" t="s">
        <v>1877</v>
      </c>
      <c r="M94" s="59">
        <v>0.50624999999999998</v>
      </c>
      <c r="N94" s="41">
        <v>68</v>
      </c>
      <c r="O94" s="76">
        <f t="shared" si="1"/>
        <v>126.20833333333334</v>
      </c>
      <c r="Q94" s="43" t="s">
        <v>2512</v>
      </c>
    </row>
    <row r="95" spans="1:17" s="41" customFormat="1" ht="20.399999999999999" x14ac:dyDescent="0.2">
      <c r="A95" s="41">
        <v>1</v>
      </c>
      <c r="B95" s="41">
        <v>1387</v>
      </c>
      <c r="C95" s="250">
        <v>45517</v>
      </c>
      <c r="D95" s="41" t="s">
        <v>2479</v>
      </c>
      <c r="E95" s="41" t="s">
        <v>2504</v>
      </c>
      <c r="F95" s="41" t="s">
        <v>2509</v>
      </c>
      <c r="G95" s="41" t="s">
        <v>2501</v>
      </c>
      <c r="I95" s="41" t="s">
        <v>2505</v>
      </c>
      <c r="J95" s="41" t="s">
        <v>1877</v>
      </c>
      <c r="M95" s="59">
        <v>0.65069444444444446</v>
      </c>
      <c r="N95" s="41">
        <v>73</v>
      </c>
      <c r="O95" s="76">
        <f t="shared" si="1"/>
        <v>127.42500000000001</v>
      </c>
      <c r="Q95" s="43" t="s">
        <v>2513</v>
      </c>
    </row>
    <row r="96" spans="1:17" s="41" customFormat="1" ht="10.199999999999999" x14ac:dyDescent="0.2">
      <c r="A96" s="41">
        <v>1</v>
      </c>
      <c r="B96" s="41">
        <v>1388</v>
      </c>
      <c r="C96" s="250">
        <v>45519</v>
      </c>
      <c r="D96" s="41" t="s">
        <v>2479</v>
      </c>
      <c r="E96" s="41" t="s">
        <v>2504</v>
      </c>
      <c r="F96" s="41" t="s">
        <v>1666</v>
      </c>
      <c r="G96" s="41" t="s">
        <v>2514</v>
      </c>
      <c r="I96" s="41" t="s">
        <v>1666</v>
      </c>
      <c r="J96" s="41" t="s">
        <v>1877</v>
      </c>
      <c r="M96" s="59">
        <v>0.45833333333333331</v>
      </c>
      <c r="N96" s="41">
        <v>48</v>
      </c>
      <c r="O96" s="76">
        <f t="shared" si="1"/>
        <v>128.22500000000002</v>
      </c>
      <c r="Q96" s="43" t="s">
        <v>2515</v>
      </c>
    </row>
    <row r="97" spans="1:17" s="41" customFormat="1" ht="10.199999999999999" x14ac:dyDescent="0.2">
      <c r="A97" s="41">
        <v>1</v>
      </c>
      <c r="B97" s="41">
        <v>1389</v>
      </c>
      <c r="C97" s="250">
        <v>45519</v>
      </c>
      <c r="D97" s="41" t="s">
        <v>2479</v>
      </c>
      <c r="E97" s="41" t="s">
        <v>2504</v>
      </c>
      <c r="F97" s="41" t="s">
        <v>1666</v>
      </c>
      <c r="G97" s="41" t="s">
        <v>2514</v>
      </c>
      <c r="I97" s="41" t="s">
        <v>1666</v>
      </c>
      <c r="J97" s="41" t="s">
        <v>1877</v>
      </c>
      <c r="M97" s="59">
        <v>0.55902777777777779</v>
      </c>
      <c r="N97" s="41">
        <v>60</v>
      </c>
      <c r="O97" s="76">
        <f t="shared" si="1"/>
        <v>129.22500000000002</v>
      </c>
      <c r="Q97" s="43" t="s">
        <v>2516</v>
      </c>
    </row>
    <row r="98" spans="1:17" s="41" customFormat="1" ht="10.199999999999999" x14ac:dyDescent="0.2">
      <c r="A98" s="41">
        <v>1</v>
      </c>
      <c r="B98" s="41">
        <v>1390</v>
      </c>
      <c r="C98" s="250">
        <v>45520</v>
      </c>
      <c r="D98" s="41" t="s">
        <v>2479</v>
      </c>
      <c r="E98" s="41" t="s">
        <v>2504</v>
      </c>
      <c r="F98" s="41" t="s">
        <v>1808</v>
      </c>
      <c r="G98" s="41" t="s">
        <v>2193</v>
      </c>
      <c r="I98" s="41" t="s">
        <v>2517</v>
      </c>
      <c r="J98" s="41" t="s">
        <v>1877</v>
      </c>
      <c r="M98" s="59">
        <v>0.47916666666666669</v>
      </c>
      <c r="N98" s="41">
        <v>56</v>
      </c>
      <c r="O98" s="76">
        <f t="shared" si="1"/>
        <v>130.15833333333336</v>
      </c>
      <c r="Q98" s="43" t="s">
        <v>2518</v>
      </c>
    </row>
    <row r="99" spans="1:17" s="41" customFormat="1" ht="10.199999999999999" hidden="1" x14ac:dyDescent="0.2">
      <c r="A99" s="41">
        <v>1</v>
      </c>
      <c r="B99" s="41">
        <v>1391</v>
      </c>
      <c r="C99" s="250">
        <v>45524</v>
      </c>
      <c r="D99" s="41" t="s">
        <v>2519</v>
      </c>
      <c r="E99" s="41" t="s">
        <v>532</v>
      </c>
      <c r="F99" s="41" t="s">
        <v>2050</v>
      </c>
      <c r="G99" s="41" t="s">
        <v>1830</v>
      </c>
      <c r="I99" s="41" t="s">
        <v>1650</v>
      </c>
      <c r="J99" s="41" t="s">
        <v>1877</v>
      </c>
      <c r="M99" s="59"/>
      <c r="N99" s="41">
        <v>10</v>
      </c>
      <c r="O99" s="76">
        <f>O98+N99/60</f>
        <v>130.32500000000002</v>
      </c>
      <c r="Q99" s="43" t="s">
        <v>2520</v>
      </c>
    </row>
    <row r="100" spans="1:17" s="41" customFormat="1" ht="10.199999999999999" x14ac:dyDescent="0.2">
      <c r="A100" s="41">
        <v>1</v>
      </c>
      <c r="B100" s="41">
        <v>1392</v>
      </c>
      <c r="C100" s="250">
        <v>45524</v>
      </c>
      <c r="D100" s="41" t="s">
        <v>2479</v>
      </c>
      <c r="E100" s="41" t="s">
        <v>532</v>
      </c>
      <c r="F100" s="41" t="s">
        <v>2050</v>
      </c>
      <c r="G100" s="41" t="s">
        <v>1830</v>
      </c>
      <c r="H100" s="41">
        <v>700</v>
      </c>
      <c r="I100" s="41" t="s">
        <v>1650</v>
      </c>
      <c r="J100" s="41" t="s">
        <v>1877</v>
      </c>
      <c r="M100" s="59">
        <v>0.57291666666666663</v>
      </c>
      <c r="N100" s="41">
        <v>90</v>
      </c>
      <c r="O100" s="76">
        <f>O99+N100/60</f>
        <v>131.82500000000002</v>
      </c>
      <c r="Q100" s="43"/>
    </row>
    <row r="101" spans="1:17" s="41" customFormat="1" ht="10.199999999999999" x14ac:dyDescent="0.2">
      <c r="A101" s="41">
        <v>1</v>
      </c>
      <c r="B101" s="41">
        <v>1393</v>
      </c>
      <c r="C101" s="250">
        <v>45526</v>
      </c>
      <c r="D101" s="41" t="s">
        <v>2479</v>
      </c>
      <c r="E101" s="41" t="s">
        <v>532</v>
      </c>
      <c r="F101" s="41" t="s">
        <v>2050</v>
      </c>
      <c r="I101" s="41" t="s">
        <v>1650</v>
      </c>
      <c r="M101" s="59"/>
      <c r="N101" s="41">
        <v>127</v>
      </c>
      <c r="O101" s="76">
        <f t="shared" si="1"/>
        <v>133.94166666666669</v>
      </c>
      <c r="Q101" s="43"/>
    </row>
    <row r="102" spans="1:17" s="41" customFormat="1" ht="10.199999999999999" hidden="1" x14ac:dyDescent="0.2">
      <c r="A102" s="41">
        <v>1</v>
      </c>
      <c r="B102" s="41">
        <v>1394</v>
      </c>
      <c r="C102" s="250">
        <v>45533</v>
      </c>
      <c r="D102" s="41" t="s">
        <v>2284</v>
      </c>
      <c r="E102" s="41" t="s">
        <v>2504</v>
      </c>
      <c r="F102" s="41" t="s">
        <v>1808</v>
      </c>
      <c r="G102" s="41" t="s">
        <v>2193</v>
      </c>
      <c r="I102" s="41" t="s">
        <v>2517</v>
      </c>
      <c r="J102" s="41" t="s">
        <v>1877</v>
      </c>
      <c r="M102" s="59">
        <v>0.49444444444444446</v>
      </c>
      <c r="N102" s="41">
        <v>35</v>
      </c>
      <c r="O102" s="76">
        <f t="shared" si="1"/>
        <v>134.52500000000003</v>
      </c>
      <c r="Q102" s="43" t="s">
        <v>2521</v>
      </c>
    </row>
    <row r="103" spans="1:17" s="41" customFormat="1" ht="10.199999999999999" x14ac:dyDescent="0.2">
      <c r="A103" s="41">
        <v>2</v>
      </c>
      <c r="B103" s="41">
        <v>1395</v>
      </c>
      <c r="C103" s="250">
        <v>45545</v>
      </c>
      <c r="D103" s="41" t="s">
        <v>2479</v>
      </c>
      <c r="E103" s="41" t="s">
        <v>532</v>
      </c>
      <c r="F103" s="41" t="s">
        <v>2050</v>
      </c>
      <c r="H103" s="41" t="s">
        <v>1650</v>
      </c>
      <c r="M103" s="59"/>
      <c r="N103" s="41">
        <v>20</v>
      </c>
      <c r="O103" s="76">
        <f t="shared" si="1"/>
        <v>134.85833333333338</v>
      </c>
      <c r="Q103" s="43" t="s">
        <v>2524</v>
      </c>
    </row>
    <row r="104" spans="1:17" s="41" customFormat="1" ht="10.199999999999999" x14ac:dyDescent="0.2">
      <c r="A104" s="41">
        <v>1</v>
      </c>
      <c r="B104" s="41">
        <v>1397</v>
      </c>
      <c r="C104" s="250">
        <v>45548</v>
      </c>
      <c r="D104" s="41" t="s">
        <v>2479</v>
      </c>
      <c r="E104" s="41" t="s">
        <v>532</v>
      </c>
      <c r="F104" s="41" t="s">
        <v>2442</v>
      </c>
      <c r="G104" s="41" t="s">
        <v>1830</v>
      </c>
      <c r="H104" s="41">
        <v>220</v>
      </c>
      <c r="I104" s="41" t="s">
        <v>2442</v>
      </c>
      <c r="J104" s="41" t="s">
        <v>1877</v>
      </c>
      <c r="M104" s="59">
        <v>0.58333333333333337</v>
      </c>
      <c r="N104" s="41">
        <v>35</v>
      </c>
      <c r="O104" s="76">
        <f t="shared" si="1"/>
        <v>135.44166666666672</v>
      </c>
      <c r="Q104" s="43"/>
    </row>
    <row r="105" spans="1:17" s="41" customFormat="1" ht="10.199999999999999" hidden="1" x14ac:dyDescent="0.2">
      <c r="A105" s="41">
        <v>4</v>
      </c>
      <c r="B105" s="41">
        <v>1401</v>
      </c>
      <c r="C105" s="250">
        <v>45549</v>
      </c>
      <c r="D105" s="41" t="s">
        <v>2462</v>
      </c>
      <c r="E105" s="41" t="s">
        <v>532</v>
      </c>
      <c r="F105" s="41" t="s">
        <v>909</v>
      </c>
      <c r="G105" s="41" t="s">
        <v>2193</v>
      </c>
      <c r="H105" s="41">
        <v>400</v>
      </c>
      <c r="I105" s="41" t="s">
        <v>909</v>
      </c>
      <c r="J105" s="41" t="s">
        <v>1877</v>
      </c>
      <c r="M105" s="59"/>
      <c r="N105" s="41">
        <v>40</v>
      </c>
      <c r="O105" s="76">
        <f t="shared" si="1"/>
        <v>136.10833333333338</v>
      </c>
      <c r="Q105" s="43" t="s">
        <v>2522</v>
      </c>
    </row>
    <row r="106" spans="1:17" s="41" customFormat="1" ht="10.199999999999999" x14ac:dyDescent="0.2">
      <c r="A106" s="41">
        <v>1</v>
      </c>
      <c r="B106" s="41">
        <v>1402</v>
      </c>
      <c r="C106" s="250">
        <v>45550</v>
      </c>
      <c r="D106" s="41" t="s">
        <v>2479</v>
      </c>
      <c r="E106" s="41" t="s">
        <v>532</v>
      </c>
      <c r="F106" s="41" t="s">
        <v>2442</v>
      </c>
      <c r="G106" s="41" t="s">
        <v>2523</v>
      </c>
      <c r="H106" s="41">
        <v>220</v>
      </c>
      <c r="I106" s="41" t="s">
        <v>2442</v>
      </c>
      <c r="J106" s="41" t="s">
        <v>1877</v>
      </c>
      <c r="M106" s="59">
        <v>0.64166666666666672</v>
      </c>
      <c r="N106" s="41">
        <v>83</v>
      </c>
      <c r="O106" s="76">
        <f t="shared" si="1"/>
        <v>137.4916666666667</v>
      </c>
      <c r="Q106" s="43"/>
    </row>
    <row r="107" spans="1:17" s="41" customFormat="1" ht="10.199999999999999" x14ac:dyDescent="0.2">
      <c r="A107" s="41">
        <v>1</v>
      </c>
      <c r="B107" s="41">
        <v>1403</v>
      </c>
      <c r="C107" s="250">
        <v>45553</v>
      </c>
      <c r="D107" s="41" t="s">
        <v>2479</v>
      </c>
      <c r="E107" s="41" t="s">
        <v>532</v>
      </c>
      <c r="F107" s="41" t="s">
        <v>2050</v>
      </c>
      <c r="G107" s="41" t="s">
        <v>2193</v>
      </c>
      <c r="I107" s="41" t="s">
        <v>1650</v>
      </c>
      <c r="J107" s="41" t="s">
        <v>1877</v>
      </c>
      <c r="L107" s="41">
        <v>1623</v>
      </c>
      <c r="M107" s="59">
        <v>0.53125</v>
      </c>
      <c r="N107" s="41">
        <v>183</v>
      </c>
      <c r="O107" s="76">
        <f t="shared" si="1"/>
        <v>140.54166666666671</v>
      </c>
      <c r="Q107" s="43" t="s">
        <v>2525</v>
      </c>
    </row>
    <row r="108" spans="1:17" s="41" customFormat="1" ht="10.199999999999999" x14ac:dyDescent="0.2">
      <c r="A108" s="41">
        <v>1</v>
      </c>
      <c r="B108" s="41">
        <v>1404</v>
      </c>
      <c r="C108" s="250">
        <v>45554</v>
      </c>
      <c r="D108" s="41" t="s">
        <v>2479</v>
      </c>
      <c r="E108" s="41" t="s">
        <v>532</v>
      </c>
      <c r="F108" s="41" t="s">
        <v>2050</v>
      </c>
      <c r="G108" s="41" t="s">
        <v>2193</v>
      </c>
      <c r="I108" s="41" t="s">
        <v>1650</v>
      </c>
      <c r="J108" s="41" t="s">
        <v>1877</v>
      </c>
      <c r="M108" s="59">
        <v>0.5444444444444444</v>
      </c>
      <c r="N108" s="41">
        <v>79</v>
      </c>
      <c r="O108" s="76">
        <f t="shared" si="1"/>
        <v>141.85833333333338</v>
      </c>
      <c r="Q108" s="43" t="s">
        <v>2526</v>
      </c>
    </row>
    <row r="109" spans="1:17" s="41" customFormat="1" ht="10.199999999999999" x14ac:dyDescent="0.2">
      <c r="A109" s="41">
        <v>1</v>
      </c>
      <c r="B109" s="41">
        <v>1405</v>
      </c>
      <c r="C109" s="250">
        <v>45559</v>
      </c>
      <c r="D109" s="41" t="s">
        <v>2479</v>
      </c>
      <c r="E109" s="41" t="s">
        <v>30</v>
      </c>
      <c r="F109" s="41" t="s">
        <v>2527</v>
      </c>
      <c r="G109" s="41" t="s">
        <v>1830</v>
      </c>
      <c r="H109" s="41">
        <v>200</v>
      </c>
      <c r="I109" s="41" t="s">
        <v>2528</v>
      </c>
      <c r="J109" s="41" t="s">
        <v>1877</v>
      </c>
      <c r="M109" s="59">
        <v>0.47916666666666669</v>
      </c>
      <c r="N109" s="41">
        <v>55</v>
      </c>
      <c r="O109" s="76">
        <f t="shared" si="1"/>
        <v>142.77500000000003</v>
      </c>
      <c r="Q109" s="41" t="s">
        <v>2537</v>
      </c>
    </row>
    <row r="110" spans="1:17" s="41" customFormat="1" ht="20.399999999999999" x14ac:dyDescent="0.2">
      <c r="A110" s="41">
        <v>1</v>
      </c>
      <c r="B110" s="41">
        <v>1406</v>
      </c>
      <c r="C110" s="250">
        <v>45560</v>
      </c>
      <c r="D110" s="41" t="s">
        <v>2479</v>
      </c>
      <c r="E110" s="41" t="s">
        <v>30</v>
      </c>
      <c r="F110" s="41" t="s">
        <v>2527</v>
      </c>
      <c r="G110" s="41" t="s">
        <v>1830</v>
      </c>
      <c r="H110" s="41">
        <v>200</v>
      </c>
      <c r="I110" s="41" t="s">
        <v>2528</v>
      </c>
      <c r="J110" s="41" t="s">
        <v>1877</v>
      </c>
      <c r="L110" s="41">
        <v>2045</v>
      </c>
      <c r="M110" s="59">
        <v>0.49861111111111112</v>
      </c>
      <c r="N110" s="41">
        <v>97</v>
      </c>
      <c r="O110" s="76">
        <f t="shared" si="1"/>
        <v>144.39166666666671</v>
      </c>
      <c r="Q110" s="43" t="s">
        <v>2538</v>
      </c>
    </row>
    <row r="111" spans="1:17" s="41" customFormat="1" ht="91.8" x14ac:dyDescent="0.2">
      <c r="A111" s="41">
        <v>1</v>
      </c>
      <c r="B111" s="41">
        <v>1407</v>
      </c>
      <c r="C111" s="250">
        <v>45564</v>
      </c>
      <c r="D111" s="41" t="s">
        <v>2479</v>
      </c>
      <c r="E111" s="41" t="s">
        <v>30</v>
      </c>
      <c r="F111" s="41" t="s">
        <v>2529</v>
      </c>
      <c r="G111" s="41" t="s">
        <v>2193</v>
      </c>
      <c r="I111" s="41" t="s">
        <v>2530</v>
      </c>
      <c r="J111" s="41" t="s">
        <v>1877</v>
      </c>
      <c r="L111" s="41">
        <v>1830</v>
      </c>
      <c r="M111" s="59">
        <v>0.57361111111111118</v>
      </c>
      <c r="N111" s="41">
        <v>54</v>
      </c>
      <c r="O111" s="76">
        <f t="shared" si="1"/>
        <v>145.29166666666671</v>
      </c>
      <c r="Q111" s="43" t="s">
        <v>2539</v>
      </c>
    </row>
    <row r="112" spans="1:17" s="41" customFormat="1" ht="40.799999999999997" x14ac:dyDescent="0.2">
      <c r="A112" s="41">
        <v>1</v>
      </c>
      <c r="B112" s="41">
        <v>1408</v>
      </c>
      <c r="C112" s="250">
        <v>45565</v>
      </c>
      <c r="D112" s="41" t="s">
        <v>2479</v>
      </c>
      <c r="E112" s="41" t="s">
        <v>30</v>
      </c>
      <c r="F112" s="41" t="s">
        <v>2529</v>
      </c>
      <c r="G112" s="41" t="s">
        <v>1830</v>
      </c>
      <c r="H112" s="41">
        <v>600</v>
      </c>
      <c r="I112" s="41" t="s">
        <v>2530</v>
      </c>
      <c r="J112" s="41" t="s">
        <v>1877</v>
      </c>
      <c r="L112" s="41">
        <v>1460</v>
      </c>
      <c r="M112" s="59">
        <v>0.56666666666666665</v>
      </c>
      <c r="N112" s="41">
        <v>43</v>
      </c>
      <c r="O112" s="76">
        <f t="shared" si="1"/>
        <v>146.00833333333338</v>
      </c>
      <c r="Q112" s="43" t="s">
        <v>2540</v>
      </c>
    </row>
    <row r="113" spans="1:17" s="41" customFormat="1" ht="61.2" x14ac:dyDescent="0.2">
      <c r="A113" s="41">
        <v>1</v>
      </c>
      <c r="B113" s="41">
        <v>1409</v>
      </c>
      <c r="C113" s="250">
        <v>45566</v>
      </c>
      <c r="D113" s="41" t="s">
        <v>2479</v>
      </c>
      <c r="E113" s="41" t="s">
        <v>30</v>
      </c>
      <c r="F113" s="41" t="s">
        <v>2531</v>
      </c>
      <c r="G113" s="41" t="s">
        <v>1830</v>
      </c>
      <c r="H113" s="41">
        <v>400</v>
      </c>
      <c r="I113" s="41" t="s">
        <v>2533</v>
      </c>
      <c r="J113" s="41" t="s">
        <v>1877</v>
      </c>
      <c r="L113" s="41">
        <v>1360</v>
      </c>
      <c r="M113" s="59">
        <v>0.67847222222222225</v>
      </c>
      <c r="N113" s="41">
        <v>90</v>
      </c>
      <c r="O113" s="76">
        <f t="shared" si="1"/>
        <v>147.50833333333338</v>
      </c>
      <c r="Q113" s="43" t="s">
        <v>2541</v>
      </c>
    </row>
    <row r="114" spans="1:17" s="41" customFormat="1" ht="102" x14ac:dyDescent="0.2">
      <c r="A114" s="41">
        <v>1</v>
      </c>
      <c r="B114" s="41">
        <v>1410</v>
      </c>
      <c r="C114" s="250">
        <v>45567</v>
      </c>
      <c r="D114" s="41" t="s">
        <v>2479</v>
      </c>
      <c r="E114" s="41" t="s">
        <v>30</v>
      </c>
      <c r="F114" s="41" t="s">
        <v>2532</v>
      </c>
      <c r="G114" s="41" t="s">
        <v>1830</v>
      </c>
      <c r="H114" s="41">
        <v>600</v>
      </c>
      <c r="I114" s="41" t="s">
        <v>2534</v>
      </c>
      <c r="J114" s="41" t="s">
        <v>1877</v>
      </c>
      <c r="L114" s="41">
        <v>1280</v>
      </c>
      <c r="M114" s="59">
        <v>0.51944444444444449</v>
      </c>
      <c r="N114" s="41">
        <v>28</v>
      </c>
      <c r="O114" s="76">
        <f t="shared" si="1"/>
        <v>147.97500000000005</v>
      </c>
      <c r="Q114" s="43" t="s">
        <v>2542</v>
      </c>
    </row>
    <row r="115" spans="1:17" s="41" customFormat="1" ht="51" x14ac:dyDescent="0.2">
      <c r="A115" s="41">
        <v>1</v>
      </c>
      <c r="B115" s="41">
        <v>1411</v>
      </c>
      <c r="C115" s="250">
        <v>45586</v>
      </c>
      <c r="D115" s="41" t="s">
        <v>2479</v>
      </c>
      <c r="E115" s="41" t="s">
        <v>30</v>
      </c>
      <c r="F115" s="41" t="s">
        <v>2535</v>
      </c>
      <c r="G115" s="41" t="s">
        <v>1830</v>
      </c>
      <c r="H115" s="41">
        <v>400</v>
      </c>
      <c r="I115" s="41" t="s">
        <v>2536</v>
      </c>
      <c r="J115" s="41" t="s">
        <v>1877</v>
      </c>
      <c r="M115" s="59">
        <v>0.53472222222222221</v>
      </c>
      <c r="N115" s="41">
        <v>19</v>
      </c>
      <c r="O115" s="76">
        <f t="shared" si="1"/>
        <v>148.29166666666671</v>
      </c>
      <c r="Q115" s="43" t="s">
        <v>2543</v>
      </c>
    </row>
    <row r="116" spans="1:17" s="41" customFormat="1" ht="10.199999999999999" x14ac:dyDescent="0.2">
      <c r="A116" s="41">
        <v>1</v>
      </c>
      <c r="B116" s="41">
        <v>1412</v>
      </c>
      <c r="C116" s="250">
        <v>45589</v>
      </c>
      <c r="D116" s="41" t="s">
        <v>2479</v>
      </c>
      <c r="E116" s="41" t="s">
        <v>532</v>
      </c>
      <c r="F116" s="41" t="s">
        <v>1836</v>
      </c>
      <c r="G116" s="41" t="s">
        <v>1830</v>
      </c>
      <c r="H116" s="41">
        <v>400</v>
      </c>
      <c r="I116" s="41" t="s">
        <v>1650</v>
      </c>
      <c r="J116" s="41" t="s">
        <v>1877</v>
      </c>
      <c r="L116" s="41">
        <v>2150</v>
      </c>
      <c r="M116" s="59">
        <v>0.52777777777777779</v>
      </c>
      <c r="N116" s="41">
        <v>116</v>
      </c>
      <c r="O116" s="76">
        <f t="shared" si="1"/>
        <v>150.22500000000005</v>
      </c>
      <c r="Q116" s="43"/>
    </row>
    <row r="117" spans="1:17" s="41" customFormat="1" ht="10.199999999999999" x14ac:dyDescent="0.2">
      <c r="A117" s="41">
        <v>1</v>
      </c>
      <c r="B117" s="41">
        <v>1413</v>
      </c>
      <c r="C117" s="250">
        <v>45596</v>
      </c>
      <c r="D117" s="41" t="s">
        <v>2479</v>
      </c>
      <c r="E117" s="41" t="s">
        <v>532</v>
      </c>
      <c r="F117" s="41" t="s">
        <v>1836</v>
      </c>
      <c r="G117" s="41" t="s">
        <v>1830</v>
      </c>
      <c r="H117" s="41">
        <v>1200</v>
      </c>
      <c r="I117" s="41" t="s">
        <v>1650</v>
      </c>
      <c r="J117" s="41" t="s">
        <v>1877</v>
      </c>
      <c r="M117" s="59">
        <v>0.55694444444444446</v>
      </c>
      <c r="N117" s="41">
        <v>18</v>
      </c>
      <c r="O117" s="76">
        <f t="shared" si="1"/>
        <v>150.52500000000006</v>
      </c>
      <c r="Q117" s="43"/>
    </row>
    <row r="118" spans="1:17" s="41" customFormat="1" ht="10.199999999999999" x14ac:dyDescent="0.2">
      <c r="A118" s="41">
        <v>1</v>
      </c>
      <c r="B118" s="41">
        <v>1414</v>
      </c>
      <c r="C118" s="250">
        <v>45597</v>
      </c>
      <c r="D118" s="41" t="s">
        <v>2479</v>
      </c>
      <c r="E118" s="41" t="s">
        <v>532</v>
      </c>
      <c r="F118" s="41" t="s">
        <v>1836</v>
      </c>
      <c r="G118" s="41" t="s">
        <v>1830</v>
      </c>
      <c r="H118" s="41">
        <v>400</v>
      </c>
      <c r="I118" s="41" t="s">
        <v>1650</v>
      </c>
      <c r="J118" s="41" t="s">
        <v>1877</v>
      </c>
      <c r="M118" s="59">
        <v>0.55833333333333335</v>
      </c>
      <c r="N118" s="41">
        <v>61</v>
      </c>
      <c r="O118" s="76">
        <f t="shared" si="1"/>
        <v>151.54166666666674</v>
      </c>
      <c r="Q118" s="43"/>
    </row>
    <row r="119" spans="1:17" s="41" customFormat="1" ht="10.199999999999999" x14ac:dyDescent="0.2">
      <c r="A119" s="41">
        <v>1</v>
      </c>
      <c r="B119" s="41">
        <v>1415</v>
      </c>
      <c r="C119" s="250">
        <v>45598</v>
      </c>
      <c r="D119" s="41" t="s">
        <v>2479</v>
      </c>
      <c r="E119" s="41" t="s">
        <v>532</v>
      </c>
      <c r="F119" s="41" t="s">
        <v>1836</v>
      </c>
      <c r="G119" s="41" t="s">
        <v>1830</v>
      </c>
      <c r="H119" s="41">
        <v>400</v>
      </c>
      <c r="I119" s="41" t="s">
        <v>1650</v>
      </c>
      <c r="J119" s="41" t="s">
        <v>1877</v>
      </c>
      <c r="M119" s="59">
        <v>0.55763888888888891</v>
      </c>
      <c r="N119" s="41">
        <v>24</v>
      </c>
      <c r="O119" s="76">
        <f t="shared" si="1"/>
        <v>151.94166666666675</v>
      </c>
      <c r="Q119" s="43"/>
    </row>
    <row r="120" spans="1:17" s="41" customFormat="1" ht="30.6" x14ac:dyDescent="0.2">
      <c r="A120" s="41">
        <v>1</v>
      </c>
      <c r="B120" s="41">
        <v>1416</v>
      </c>
      <c r="C120" s="250">
        <v>45599</v>
      </c>
      <c r="D120" s="41" t="s">
        <v>2479</v>
      </c>
      <c r="E120" s="41" t="s">
        <v>532</v>
      </c>
      <c r="F120" s="41" t="s">
        <v>1836</v>
      </c>
      <c r="G120" s="41" t="s">
        <v>1830</v>
      </c>
      <c r="H120" s="41">
        <v>500</v>
      </c>
      <c r="I120" s="41" t="s">
        <v>1650</v>
      </c>
      <c r="J120" s="41" t="s">
        <v>1877</v>
      </c>
      <c r="L120" s="41">
        <v>1860</v>
      </c>
      <c r="M120" s="59">
        <v>0.56944444444444442</v>
      </c>
      <c r="N120" s="41">
        <v>40</v>
      </c>
      <c r="O120" s="76">
        <f t="shared" si="1"/>
        <v>152.60833333333341</v>
      </c>
      <c r="Q120" s="43" t="s">
        <v>2544</v>
      </c>
    </row>
    <row r="121" spans="1:17" s="41" customFormat="1" ht="20.399999999999999" x14ac:dyDescent="0.2">
      <c r="A121" s="41">
        <v>1</v>
      </c>
      <c r="B121" s="41">
        <v>1417</v>
      </c>
      <c r="C121" s="250">
        <v>45599</v>
      </c>
      <c r="D121" s="41" t="s">
        <v>2479</v>
      </c>
      <c r="E121" s="41" t="s">
        <v>532</v>
      </c>
      <c r="F121" s="41" t="s">
        <v>1836</v>
      </c>
      <c r="G121" s="41" t="s">
        <v>1830</v>
      </c>
      <c r="H121" s="41">
        <v>600</v>
      </c>
      <c r="I121" s="41" t="s">
        <v>1650</v>
      </c>
      <c r="J121" s="41" t="s">
        <v>1877</v>
      </c>
      <c r="M121" s="59">
        <v>0.67499999999999993</v>
      </c>
      <c r="N121" s="41">
        <v>15</v>
      </c>
      <c r="O121" s="76">
        <f t="shared" si="1"/>
        <v>152.85833333333341</v>
      </c>
      <c r="Q121" s="43" t="s">
        <v>2545</v>
      </c>
    </row>
    <row r="122" spans="1:17" s="41" customFormat="1" ht="10.199999999999999" x14ac:dyDescent="0.2">
      <c r="A122" s="41">
        <v>1</v>
      </c>
      <c r="B122" s="41">
        <v>1418</v>
      </c>
      <c r="C122" s="250">
        <v>45611</v>
      </c>
      <c r="D122" s="41" t="s">
        <v>2479</v>
      </c>
      <c r="E122" s="41" t="s">
        <v>532</v>
      </c>
      <c r="F122" s="41" t="s">
        <v>1836</v>
      </c>
      <c r="G122" s="41" t="s">
        <v>1830</v>
      </c>
      <c r="H122" s="41">
        <v>400</v>
      </c>
      <c r="I122" s="41" t="s">
        <v>1650</v>
      </c>
      <c r="J122" s="41" t="s">
        <v>1877</v>
      </c>
      <c r="M122" s="59">
        <v>0.54097222222222219</v>
      </c>
      <c r="N122" s="41">
        <v>23</v>
      </c>
      <c r="O122" s="76">
        <f t="shared" si="1"/>
        <v>153.24166666666673</v>
      </c>
      <c r="Q122" s="43"/>
    </row>
    <row r="123" spans="1:17" s="41" customFormat="1" ht="10.199999999999999" x14ac:dyDescent="0.2">
      <c r="A123" s="41">
        <v>1</v>
      </c>
      <c r="B123" s="41">
        <v>1419</v>
      </c>
      <c r="C123" s="250">
        <v>45612</v>
      </c>
      <c r="D123" s="41" t="s">
        <v>2479</v>
      </c>
      <c r="E123" s="41" t="s">
        <v>532</v>
      </c>
      <c r="F123" s="41" t="s">
        <v>1836</v>
      </c>
      <c r="G123" s="41" t="s">
        <v>1830</v>
      </c>
      <c r="H123" s="41">
        <v>400</v>
      </c>
      <c r="I123" s="41" t="s">
        <v>1650</v>
      </c>
      <c r="J123" s="41" t="s">
        <v>1877</v>
      </c>
      <c r="M123" s="59">
        <v>0.54791666666666672</v>
      </c>
      <c r="N123" s="41">
        <v>98</v>
      </c>
      <c r="O123" s="76">
        <f t="shared" si="1"/>
        <v>154.87500000000006</v>
      </c>
      <c r="Q123" s="43"/>
    </row>
    <row r="124" spans="1:17" s="41" customFormat="1" ht="10.199999999999999" x14ac:dyDescent="0.2">
      <c r="A124" s="41">
        <v>1</v>
      </c>
      <c r="B124" s="41">
        <v>1420</v>
      </c>
      <c r="C124" s="250">
        <v>45619</v>
      </c>
      <c r="D124" s="41" t="s">
        <v>2479</v>
      </c>
      <c r="E124" s="41" t="s">
        <v>532</v>
      </c>
      <c r="F124" s="41" t="s">
        <v>1836</v>
      </c>
      <c r="G124" s="41" t="s">
        <v>1830</v>
      </c>
      <c r="H124" s="41">
        <v>400</v>
      </c>
      <c r="I124" s="41" t="s">
        <v>1650</v>
      </c>
      <c r="J124" s="41" t="s">
        <v>1877</v>
      </c>
      <c r="M124" s="59">
        <v>0.55069444444444449</v>
      </c>
      <c r="N124" s="41">
        <v>28</v>
      </c>
      <c r="O124" s="76">
        <f t="shared" si="1"/>
        <v>155.34166666666673</v>
      </c>
      <c r="Q124" s="43"/>
    </row>
    <row r="125" spans="1:17" s="41" customFormat="1" ht="10.199999999999999" x14ac:dyDescent="0.2">
      <c r="A125" s="41">
        <v>1</v>
      </c>
      <c r="B125" s="41">
        <v>1421</v>
      </c>
      <c r="C125" s="250">
        <v>45623</v>
      </c>
      <c r="D125" s="41" t="s">
        <v>2479</v>
      </c>
      <c r="E125" s="41" t="s">
        <v>532</v>
      </c>
      <c r="F125" s="41" t="s">
        <v>1836</v>
      </c>
      <c r="G125" s="41" t="s">
        <v>1830</v>
      </c>
      <c r="H125" s="41">
        <v>1100</v>
      </c>
      <c r="I125" s="41" t="s">
        <v>1650</v>
      </c>
      <c r="J125" s="41" t="s">
        <v>1877</v>
      </c>
      <c r="M125" s="59">
        <v>0.5493055555555556</v>
      </c>
      <c r="N125" s="41">
        <v>47</v>
      </c>
      <c r="O125" s="76">
        <f t="shared" si="1"/>
        <v>156.12500000000006</v>
      </c>
      <c r="Q125" s="43"/>
    </row>
    <row r="126" spans="1:17" s="41" customFormat="1" ht="40.799999999999997" x14ac:dyDescent="0.2">
      <c r="A126" s="41">
        <v>1</v>
      </c>
      <c r="B126" s="41">
        <v>1422</v>
      </c>
      <c r="C126" s="250">
        <v>45624</v>
      </c>
      <c r="D126" s="41" t="s">
        <v>2479</v>
      </c>
      <c r="E126" s="41" t="s">
        <v>532</v>
      </c>
      <c r="F126" s="41" t="s">
        <v>1836</v>
      </c>
      <c r="G126" s="41" t="s">
        <v>1830</v>
      </c>
      <c r="H126" s="41">
        <v>400</v>
      </c>
      <c r="I126" s="41" t="s">
        <v>1650</v>
      </c>
      <c r="J126" s="41" t="s">
        <v>1877</v>
      </c>
      <c r="M126" s="59">
        <v>0.56527777777777777</v>
      </c>
      <c r="N126" s="41">
        <v>105</v>
      </c>
      <c r="O126" s="76">
        <f t="shared" si="1"/>
        <v>157.87500000000006</v>
      </c>
      <c r="Q126" s="43" t="s">
        <v>2547</v>
      </c>
    </row>
    <row r="127" spans="1:17" s="41" customFormat="1" ht="10.199999999999999" hidden="1" x14ac:dyDescent="0.2">
      <c r="A127" s="41">
        <v>1</v>
      </c>
      <c r="B127" s="41">
        <v>1423</v>
      </c>
      <c r="C127" s="250">
        <v>45625</v>
      </c>
      <c r="D127" s="41" t="s">
        <v>2546</v>
      </c>
      <c r="E127" s="41" t="s">
        <v>532</v>
      </c>
      <c r="F127" s="41" t="s">
        <v>2050</v>
      </c>
      <c r="G127" s="41" t="s">
        <v>1830</v>
      </c>
      <c r="H127" s="41">
        <v>700</v>
      </c>
      <c r="I127" s="41" t="s">
        <v>1650</v>
      </c>
      <c r="J127" s="41" t="s">
        <v>1877</v>
      </c>
      <c r="M127" s="59">
        <v>0.49861111111111112</v>
      </c>
      <c r="N127" s="41">
        <v>13</v>
      </c>
      <c r="O127" s="76">
        <f t="shared" si="1"/>
        <v>158.09166666666673</v>
      </c>
      <c r="Q127" s="43"/>
    </row>
    <row r="128" spans="1:17" s="41" customFormat="1" ht="10.199999999999999" x14ac:dyDescent="0.2">
      <c r="A128" s="41">
        <v>1</v>
      </c>
      <c r="B128" s="41">
        <v>1424</v>
      </c>
      <c r="C128" s="250">
        <v>45991</v>
      </c>
      <c r="D128" s="41" t="s">
        <v>2479</v>
      </c>
      <c r="E128" s="41" t="s">
        <v>532</v>
      </c>
      <c r="F128" s="41" t="s">
        <v>2435</v>
      </c>
      <c r="G128" s="41" t="s">
        <v>1830</v>
      </c>
      <c r="H128" s="41">
        <v>800</v>
      </c>
      <c r="I128" s="41" t="s">
        <v>1650</v>
      </c>
      <c r="J128" s="41" t="s">
        <v>1877</v>
      </c>
      <c r="M128" s="59"/>
      <c r="N128" s="41">
        <v>31</v>
      </c>
      <c r="O128" s="76">
        <f t="shared" si="1"/>
        <v>158.60833333333341</v>
      </c>
      <c r="Q128" s="43"/>
    </row>
    <row r="129" spans="1:17" s="41" customFormat="1" ht="10.199999999999999" x14ac:dyDescent="0.2">
      <c r="A129" s="41">
        <v>1</v>
      </c>
      <c r="B129" s="41">
        <v>1425</v>
      </c>
      <c r="C129" s="250">
        <v>45992</v>
      </c>
      <c r="D129" s="41" t="s">
        <v>2479</v>
      </c>
      <c r="E129" s="41" t="s">
        <v>532</v>
      </c>
      <c r="F129" s="41" t="s">
        <v>1836</v>
      </c>
      <c r="G129" s="41" t="s">
        <v>2548</v>
      </c>
      <c r="H129" s="41">
        <v>400</v>
      </c>
      <c r="I129" s="41" t="s">
        <v>1650</v>
      </c>
      <c r="J129" s="41" t="s">
        <v>1877</v>
      </c>
      <c r="M129" s="59"/>
      <c r="N129" s="41">
        <v>100</v>
      </c>
      <c r="O129" s="76">
        <f t="shared" si="1"/>
        <v>160.27500000000006</v>
      </c>
      <c r="Q129" s="43"/>
    </row>
    <row r="130" spans="1:17" s="41" customFormat="1" ht="10.199999999999999" x14ac:dyDescent="0.2">
      <c r="A130" s="41">
        <v>1</v>
      </c>
      <c r="B130" s="41">
        <v>1426</v>
      </c>
      <c r="C130" s="250">
        <v>46007</v>
      </c>
      <c r="D130" s="41" t="s">
        <v>2479</v>
      </c>
      <c r="E130" s="41" t="s">
        <v>532</v>
      </c>
      <c r="F130" s="41" t="s">
        <v>2050</v>
      </c>
      <c r="I130" s="41" t="s">
        <v>1650</v>
      </c>
      <c r="J130" s="41" t="s">
        <v>1877</v>
      </c>
      <c r="M130" s="59"/>
      <c r="N130" s="41">
        <v>11</v>
      </c>
      <c r="O130" s="76">
        <f t="shared" si="1"/>
        <v>160.4583333333334</v>
      </c>
      <c r="Q130" s="43"/>
    </row>
    <row r="131" spans="1:17" s="41" customFormat="1" ht="10.199999999999999" x14ac:dyDescent="0.2">
      <c r="A131" s="41">
        <v>1</v>
      </c>
      <c r="B131" s="41">
        <v>1427</v>
      </c>
      <c r="C131" s="250">
        <v>46019</v>
      </c>
      <c r="D131" s="41" t="s">
        <v>2479</v>
      </c>
      <c r="E131" s="41" t="s">
        <v>532</v>
      </c>
      <c r="F131" s="41" t="s">
        <v>2050</v>
      </c>
      <c r="I131" s="41" t="s">
        <v>1650</v>
      </c>
      <c r="J131" s="41" t="s">
        <v>1877</v>
      </c>
      <c r="M131" s="59"/>
      <c r="N131" s="41">
        <v>90</v>
      </c>
      <c r="O131" s="76">
        <f t="shared" si="1"/>
        <v>161.9583333333334</v>
      </c>
      <c r="Q131" s="43"/>
    </row>
    <row r="132" spans="1:17" s="41" customFormat="1" ht="10.199999999999999" x14ac:dyDescent="0.2">
      <c r="A132" s="41">
        <v>1</v>
      </c>
      <c r="B132" s="41">
        <v>1428</v>
      </c>
      <c r="C132" s="250">
        <v>46020</v>
      </c>
      <c r="D132" s="41" t="s">
        <v>2479</v>
      </c>
      <c r="E132" s="41" t="s">
        <v>532</v>
      </c>
      <c r="F132" s="41" t="s">
        <v>1836</v>
      </c>
      <c r="I132" s="41" t="s">
        <v>1650</v>
      </c>
      <c r="J132" s="41" t="s">
        <v>1877</v>
      </c>
      <c r="M132" s="59"/>
      <c r="N132" s="41">
        <v>45</v>
      </c>
      <c r="O132" s="76">
        <f>O131+N132/60</f>
        <v>162.7083333333334</v>
      </c>
      <c r="Q132" s="43"/>
    </row>
    <row r="133" spans="1:17" s="41" customFormat="1" ht="10.199999999999999" x14ac:dyDescent="0.2">
      <c r="C133" s="250"/>
      <c r="M133" s="59"/>
      <c r="O133" s="76"/>
      <c r="Q133" s="43"/>
    </row>
    <row r="134" spans="1:17" s="41" customFormat="1" ht="10.199999999999999" x14ac:dyDescent="0.2">
      <c r="C134" s="250"/>
      <c r="M134" s="59"/>
      <c r="O134" s="76"/>
      <c r="Q134" s="43"/>
    </row>
    <row r="135" spans="1:17" s="41" customFormat="1" ht="10.199999999999999" x14ac:dyDescent="0.2">
      <c r="C135" s="250"/>
      <c r="M135" s="59"/>
      <c r="O135" s="76"/>
      <c r="Q135" s="43"/>
    </row>
    <row r="136" spans="1:17" s="41" customFormat="1" ht="10.199999999999999" x14ac:dyDescent="0.2">
      <c r="C136" s="250"/>
      <c r="M136" s="59"/>
      <c r="O136" s="76"/>
      <c r="Q136" s="43"/>
    </row>
    <row r="137" spans="1:17" s="41" customFormat="1" ht="10.199999999999999" x14ac:dyDescent="0.2">
      <c r="C137" s="250"/>
      <c r="M137" s="59"/>
      <c r="O137" s="76"/>
      <c r="Q137" s="43"/>
    </row>
    <row r="138" spans="1:17" s="41" customFormat="1" ht="10.199999999999999" x14ac:dyDescent="0.2">
      <c r="C138" s="250"/>
      <c r="M138" s="59"/>
      <c r="O138" s="76"/>
      <c r="Q138" s="43"/>
    </row>
    <row r="139" spans="1:17" s="41" customFormat="1" ht="10.199999999999999" x14ac:dyDescent="0.2">
      <c r="C139" s="250"/>
      <c r="M139" s="59"/>
      <c r="O139" s="76"/>
      <c r="Q139" s="43"/>
    </row>
    <row r="140" spans="1:17" s="41" customFormat="1" ht="10.199999999999999" x14ac:dyDescent="0.2">
      <c r="C140" s="250"/>
      <c r="M140" s="59"/>
      <c r="O140" s="76"/>
      <c r="Q140" s="43"/>
    </row>
    <row r="141" spans="1:17" s="41" customFormat="1" ht="10.199999999999999" x14ac:dyDescent="0.2">
      <c r="C141" s="250"/>
      <c r="M141" s="59"/>
      <c r="O141" s="76"/>
      <c r="Q141" s="43"/>
    </row>
    <row r="142" spans="1:17" s="41" customFormat="1" ht="10.199999999999999" x14ac:dyDescent="0.2">
      <c r="C142" s="250"/>
      <c r="M142" s="59"/>
      <c r="O142" s="76"/>
      <c r="Q142" s="43"/>
    </row>
    <row r="143" spans="1:17" s="41" customFormat="1" ht="10.199999999999999" x14ac:dyDescent="0.2">
      <c r="C143" s="250"/>
      <c r="M143" s="59"/>
      <c r="O143" s="76"/>
      <c r="Q143" s="43"/>
    </row>
  </sheetData>
  <autoFilter ref="A1:Q132">
    <filterColumn colId="3">
      <filters>
        <filter val="Ikuma 3P - 24"/>
      </filters>
    </filterColumn>
  </autoFilter>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0"/>
  <sheetViews>
    <sheetView zoomScaleNormal="100" workbookViewId="0">
      <pane ySplit="1" topLeftCell="A94" activePane="bottomLeft" state="frozen"/>
      <selection activeCell="B1" sqref="B1"/>
      <selection pane="bottomLeft" activeCell="Q105" sqref="Q105"/>
    </sheetView>
  </sheetViews>
  <sheetFormatPr baseColWidth="10" defaultRowHeight="13.2" x14ac:dyDescent="0.25"/>
  <cols>
    <col min="8" max="8" width="11.5546875" style="41"/>
    <col min="12" max="12" width="11.5546875" style="41"/>
    <col min="16" max="16" width="11.5546875" style="41"/>
    <col min="17" max="17" width="70.5546875" style="43" customWidth="1"/>
  </cols>
  <sheetData>
    <row r="1" spans="1:17" x14ac:dyDescent="0.25">
      <c r="A1" s="244" t="s">
        <v>1178</v>
      </c>
      <c r="B1" s="244" t="s">
        <v>1164</v>
      </c>
      <c r="C1" s="249" t="s">
        <v>1165</v>
      </c>
      <c r="D1" s="244" t="s">
        <v>1166</v>
      </c>
      <c r="E1" s="244" t="s">
        <v>1167</v>
      </c>
      <c r="F1" s="244" t="s">
        <v>530</v>
      </c>
      <c r="G1" s="244" t="s">
        <v>1989</v>
      </c>
      <c r="H1" s="41" t="s">
        <v>1180</v>
      </c>
      <c r="I1" s="244" t="s">
        <v>531</v>
      </c>
      <c r="J1" s="244" t="s">
        <v>1829</v>
      </c>
      <c r="K1" s="244" t="s">
        <v>1177</v>
      </c>
      <c r="L1" s="41" t="s">
        <v>1173</v>
      </c>
      <c r="M1" s="246" t="s">
        <v>411</v>
      </c>
      <c r="N1" s="244" t="s">
        <v>1175</v>
      </c>
      <c r="O1" s="247" t="s">
        <v>321</v>
      </c>
      <c r="P1" s="244" t="s">
        <v>1179</v>
      </c>
      <c r="Q1" s="251" t="s">
        <v>2116</v>
      </c>
    </row>
    <row r="2" spans="1:17" x14ac:dyDescent="0.25">
      <c r="A2" s="41">
        <v>1</v>
      </c>
      <c r="B2" s="41">
        <v>1173</v>
      </c>
      <c r="C2" s="250">
        <v>44930</v>
      </c>
      <c r="D2" s="41" t="s">
        <v>2284</v>
      </c>
      <c r="E2" s="41" t="s">
        <v>532</v>
      </c>
      <c r="F2" s="41" t="s">
        <v>2050</v>
      </c>
      <c r="G2" s="41" t="s">
        <v>1830</v>
      </c>
      <c r="H2" s="41">
        <v>700</v>
      </c>
      <c r="I2" s="41" t="s">
        <v>1650</v>
      </c>
      <c r="J2" s="41" t="s">
        <v>1877</v>
      </c>
      <c r="K2" s="41" t="s">
        <v>2285</v>
      </c>
      <c r="M2" s="59">
        <v>0.54305555555555551</v>
      </c>
      <c r="N2" s="41">
        <v>25</v>
      </c>
      <c r="O2" s="76">
        <f>25/60</f>
        <v>0.41666666666666669</v>
      </c>
    </row>
    <row r="3" spans="1:17" s="41" customFormat="1" ht="10.199999999999999" x14ac:dyDescent="0.2">
      <c r="A3" s="41">
        <v>1</v>
      </c>
      <c r="B3" s="41">
        <v>1174</v>
      </c>
      <c r="C3" s="250">
        <v>44931</v>
      </c>
      <c r="D3" s="41" t="s">
        <v>2284</v>
      </c>
      <c r="E3" s="41" t="s">
        <v>532</v>
      </c>
      <c r="F3" s="41" t="s">
        <v>1836</v>
      </c>
      <c r="G3" s="41" t="s">
        <v>1830</v>
      </c>
      <c r="H3" s="41">
        <v>400</v>
      </c>
      <c r="I3" s="41" t="s">
        <v>1650</v>
      </c>
      <c r="J3" s="41" t="s">
        <v>1182</v>
      </c>
      <c r="L3" s="41">
        <v>1825</v>
      </c>
      <c r="M3" s="59">
        <v>0.53472222222222221</v>
      </c>
      <c r="N3" s="41">
        <v>118</v>
      </c>
      <c r="O3" s="76">
        <f>O2+N3/60</f>
        <v>2.3833333333333333</v>
      </c>
      <c r="P3" s="41">
        <v>24</v>
      </c>
      <c r="Q3" s="43"/>
    </row>
    <row r="4" spans="1:17" s="41" customFormat="1" ht="10.199999999999999" x14ac:dyDescent="0.2">
      <c r="A4" s="41">
        <v>1</v>
      </c>
      <c r="C4" s="250">
        <v>44941</v>
      </c>
      <c r="D4" s="41" t="s">
        <v>2284</v>
      </c>
      <c r="E4" s="41" t="s">
        <v>2238</v>
      </c>
      <c r="M4" s="59"/>
      <c r="O4" s="76">
        <f t="shared" ref="O4:O67" si="0">O3+N4/60</f>
        <v>2.3833333333333333</v>
      </c>
      <c r="Q4" s="43" t="s">
        <v>2286</v>
      </c>
    </row>
    <row r="5" spans="1:17" s="41" customFormat="1" ht="10.199999999999999" x14ac:dyDescent="0.2">
      <c r="A5" s="41">
        <v>1</v>
      </c>
      <c r="B5" s="41">
        <v>1175</v>
      </c>
      <c r="C5" s="250">
        <v>44936</v>
      </c>
      <c r="D5" s="41" t="s">
        <v>2284</v>
      </c>
      <c r="E5" s="41" t="s">
        <v>532</v>
      </c>
      <c r="F5" s="41" t="s">
        <v>423</v>
      </c>
      <c r="H5" s="41">
        <v>220</v>
      </c>
      <c r="I5" s="41" t="s">
        <v>423</v>
      </c>
      <c r="J5" s="41" t="s">
        <v>1877</v>
      </c>
      <c r="M5" s="59">
        <v>0.67499999999999993</v>
      </c>
      <c r="N5" s="41">
        <v>4</v>
      </c>
      <c r="O5" s="76">
        <f t="shared" si="0"/>
        <v>2.4500000000000002</v>
      </c>
      <c r="Q5" s="43"/>
    </row>
    <row r="6" spans="1:17" s="41" customFormat="1" ht="10.199999999999999" x14ac:dyDescent="0.2">
      <c r="A6" s="41">
        <v>1</v>
      </c>
      <c r="B6" s="41">
        <v>1176</v>
      </c>
      <c r="C6" s="250">
        <v>44946</v>
      </c>
      <c r="D6" s="41" t="s">
        <v>2284</v>
      </c>
      <c r="E6" s="41" t="s">
        <v>532</v>
      </c>
      <c r="F6" s="41" t="s">
        <v>423</v>
      </c>
      <c r="H6" s="41">
        <v>220</v>
      </c>
      <c r="I6" s="41" t="s">
        <v>423</v>
      </c>
      <c r="M6" s="59">
        <v>0.6972222222222223</v>
      </c>
      <c r="N6" s="41">
        <v>5</v>
      </c>
      <c r="O6" s="76">
        <f t="shared" si="0"/>
        <v>2.5333333333333337</v>
      </c>
      <c r="Q6" s="43"/>
    </row>
    <row r="7" spans="1:17" s="41" customFormat="1" ht="10.199999999999999" x14ac:dyDescent="0.2">
      <c r="A7" s="41">
        <v>1</v>
      </c>
      <c r="B7" s="41">
        <v>1177</v>
      </c>
      <c r="C7" s="250">
        <v>44956</v>
      </c>
      <c r="D7" s="41" t="s">
        <v>2256</v>
      </c>
      <c r="E7" s="41" t="s">
        <v>532</v>
      </c>
      <c r="F7" s="41" t="s">
        <v>423</v>
      </c>
      <c r="H7" s="41">
        <v>220</v>
      </c>
      <c r="I7" s="41" t="s">
        <v>423</v>
      </c>
      <c r="L7" s="41">
        <v>590</v>
      </c>
      <c r="M7" s="59">
        <v>0.69374999999999998</v>
      </c>
      <c r="N7" s="41">
        <v>23</v>
      </c>
      <c r="O7" s="76">
        <f t="shared" si="0"/>
        <v>2.916666666666667</v>
      </c>
      <c r="Q7" s="43" t="s">
        <v>2287</v>
      </c>
    </row>
    <row r="8" spans="1:17" s="41" customFormat="1" ht="81.599999999999994" x14ac:dyDescent="0.2">
      <c r="A8" s="41">
        <v>1</v>
      </c>
      <c r="B8" s="41">
        <v>1178</v>
      </c>
      <c r="C8" s="250">
        <v>44957</v>
      </c>
      <c r="D8" s="41" t="s">
        <v>2256</v>
      </c>
      <c r="E8" s="41" t="s">
        <v>532</v>
      </c>
      <c r="F8" s="41" t="s">
        <v>2050</v>
      </c>
      <c r="G8" s="41" t="s">
        <v>1830</v>
      </c>
      <c r="H8" s="41">
        <v>400</v>
      </c>
      <c r="I8" s="41" t="s">
        <v>1650</v>
      </c>
      <c r="J8" s="41" t="s">
        <v>1877</v>
      </c>
      <c r="L8" s="41">
        <v>1337</v>
      </c>
      <c r="M8" s="59">
        <v>0.52708333333333335</v>
      </c>
      <c r="N8" s="41">
        <v>124</v>
      </c>
      <c r="O8" s="76">
        <f t="shared" si="0"/>
        <v>4.9833333333333343</v>
      </c>
      <c r="Q8" s="43" t="s">
        <v>2288</v>
      </c>
    </row>
    <row r="9" spans="1:17" s="41" customFormat="1" ht="30.6" x14ac:dyDescent="0.2">
      <c r="A9" s="41">
        <v>1</v>
      </c>
      <c r="B9" s="41">
        <v>1179</v>
      </c>
      <c r="C9" s="250">
        <v>44959</v>
      </c>
      <c r="D9" s="41" t="s">
        <v>2284</v>
      </c>
      <c r="E9" s="41" t="s">
        <v>532</v>
      </c>
      <c r="F9" s="41" t="s">
        <v>2050</v>
      </c>
      <c r="G9" s="41" t="s">
        <v>1830</v>
      </c>
      <c r="H9" s="41">
        <v>700</v>
      </c>
      <c r="I9" s="41" t="s">
        <v>1650</v>
      </c>
      <c r="J9" s="41" t="s">
        <v>1182</v>
      </c>
      <c r="L9" s="41">
        <v>1280</v>
      </c>
      <c r="M9" s="59">
        <v>0.5229166666666667</v>
      </c>
      <c r="N9" s="41">
        <v>116</v>
      </c>
      <c r="O9" s="76">
        <f t="shared" si="0"/>
        <v>6.9166666666666679</v>
      </c>
      <c r="P9" s="41">
        <v>18</v>
      </c>
      <c r="Q9" s="43" t="s">
        <v>2290</v>
      </c>
    </row>
    <row r="10" spans="1:17" s="41" customFormat="1" ht="10.199999999999999" x14ac:dyDescent="0.2">
      <c r="A10" s="41">
        <v>1</v>
      </c>
      <c r="B10" s="41">
        <v>1180</v>
      </c>
      <c r="C10" s="250">
        <v>44963</v>
      </c>
      <c r="D10" s="41" t="s">
        <v>2284</v>
      </c>
      <c r="E10" s="41" t="s">
        <v>532</v>
      </c>
      <c r="F10" s="41" t="s">
        <v>2291</v>
      </c>
      <c r="I10" s="41" t="s">
        <v>1650</v>
      </c>
      <c r="J10" s="41" t="s">
        <v>1877</v>
      </c>
      <c r="L10" s="41">
        <v>1000</v>
      </c>
      <c r="M10" s="59">
        <v>0.47916666666666669</v>
      </c>
      <c r="N10" s="41">
        <v>30</v>
      </c>
      <c r="O10" s="76">
        <f t="shared" si="0"/>
        <v>7.4166666666666679</v>
      </c>
      <c r="Q10" s="41" t="s">
        <v>2292</v>
      </c>
    </row>
    <row r="11" spans="1:17" s="41" customFormat="1" ht="30.6" x14ac:dyDescent="0.2">
      <c r="A11" s="41">
        <v>1</v>
      </c>
      <c r="B11" s="41">
        <v>1181</v>
      </c>
      <c r="C11" s="250">
        <v>44965</v>
      </c>
      <c r="D11" s="41" t="s">
        <v>2284</v>
      </c>
      <c r="E11" s="41" t="s">
        <v>532</v>
      </c>
      <c r="F11" s="41" t="s">
        <v>2050</v>
      </c>
      <c r="I11" s="41" t="s">
        <v>1650</v>
      </c>
      <c r="J11" s="41" t="s">
        <v>1877</v>
      </c>
      <c r="L11" s="41">
        <v>1250</v>
      </c>
      <c r="M11" s="59">
        <v>0.53402777777777777</v>
      </c>
      <c r="N11" s="41">
        <v>131</v>
      </c>
      <c r="O11" s="76">
        <f t="shared" si="0"/>
        <v>9.6000000000000014</v>
      </c>
      <c r="Q11" s="43" t="s">
        <v>2293</v>
      </c>
    </row>
    <row r="12" spans="1:17" s="41" customFormat="1" ht="112.2" x14ac:dyDescent="0.2">
      <c r="A12" s="41">
        <v>1</v>
      </c>
      <c r="B12" s="41">
        <v>1182</v>
      </c>
      <c r="C12" s="250">
        <v>44967</v>
      </c>
      <c r="D12" s="41" t="s">
        <v>2256</v>
      </c>
      <c r="E12" s="41" t="s">
        <v>532</v>
      </c>
      <c r="F12" s="41" t="s">
        <v>2050</v>
      </c>
      <c r="I12" s="41" t="s">
        <v>1650</v>
      </c>
      <c r="J12" s="41" t="s">
        <v>1182</v>
      </c>
      <c r="L12" s="41">
        <v>1300</v>
      </c>
      <c r="M12" s="59">
        <v>0.5180555555555556</v>
      </c>
      <c r="N12" s="41">
        <v>175</v>
      </c>
      <c r="O12" s="76">
        <f t="shared" si="0"/>
        <v>12.516666666666667</v>
      </c>
      <c r="P12" s="41">
        <v>22</v>
      </c>
      <c r="Q12" s="43" t="s">
        <v>2437</v>
      </c>
    </row>
    <row r="13" spans="1:17" s="41" customFormat="1" ht="10.199999999999999" x14ac:dyDescent="0.2">
      <c r="A13" s="41">
        <v>1</v>
      </c>
      <c r="B13" s="41">
        <v>1183</v>
      </c>
      <c r="C13" s="250">
        <v>44970</v>
      </c>
      <c r="D13" s="41" t="s">
        <v>2256</v>
      </c>
      <c r="E13" s="41" t="s">
        <v>532</v>
      </c>
      <c r="F13" s="41" t="s">
        <v>1836</v>
      </c>
      <c r="G13" s="41" t="s">
        <v>1830</v>
      </c>
      <c r="H13" s="41">
        <v>400</v>
      </c>
      <c r="I13" s="41" t="s">
        <v>1650</v>
      </c>
      <c r="J13" s="41" t="s">
        <v>1877</v>
      </c>
      <c r="M13" s="59">
        <v>0.54166666666666663</v>
      </c>
      <c r="N13" s="41">
        <v>16</v>
      </c>
      <c r="O13" s="76">
        <f t="shared" si="0"/>
        <v>12.783333333333335</v>
      </c>
      <c r="Q13" s="43" t="s">
        <v>2295</v>
      </c>
    </row>
    <row r="14" spans="1:17" s="41" customFormat="1" ht="40.799999999999997" x14ac:dyDescent="0.2">
      <c r="A14" s="41">
        <v>1</v>
      </c>
      <c r="B14" s="41">
        <v>1184</v>
      </c>
      <c r="C14" s="250">
        <v>44973</v>
      </c>
      <c r="D14" s="41" t="s">
        <v>2256</v>
      </c>
      <c r="E14" s="41" t="s">
        <v>532</v>
      </c>
      <c r="F14" s="41" t="s">
        <v>2050</v>
      </c>
      <c r="I14" s="41" t="s">
        <v>2294</v>
      </c>
      <c r="J14" s="41" t="s">
        <v>1182</v>
      </c>
      <c r="K14" s="41" t="s">
        <v>661</v>
      </c>
      <c r="L14" s="41">
        <v>1980</v>
      </c>
      <c r="M14" s="59">
        <v>0.51388888888888895</v>
      </c>
      <c r="N14" s="41">
        <v>116</v>
      </c>
      <c r="O14" s="76">
        <f t="shared" si="0"/>
        <v>14.716666666666669</v>
      </c>
      <c r="P14" s="41">
        <v>31</v>
      </c>
      <c r="Q14" s="43" t="s">
        <v>2296</v>
      </c>
    </row>
    <row r="15" spans="1:17" s="41" customFormat="1" ht="30.6" x14ac:dyDescent="0.2">
      <c r="A15" s="41">
        <v>1</v>
      </c>
      <c r="B15" s="41">
        <v>1185</v>
      </c>
      <c r="C15" s="250">
        <v>44974</v>
      </c>
      <c r="D15" s="41" t="s">
        <v>2256</v>
      </c>
      <c r="E15" s="41" t="s">
        <v>532</v>
      </c>
      <c r="F15" s="41" t="s">
        <v>2050</v>
      </c>
      <c r="I15" s="41" t="s">
        <v>1650</v>
      </c>
      <c r="J15" s="41" t="s">
        <v>1182</v>
      </c>
      <c r="K15" s="41" t="s">
        <v>661</v>
      </c>
      <c r="L15" s="41">
        <v>1750</v>
      </c>
      <c r="M15" s="59">
        <v>0.52083333333333337</v>
      </c>
      <c r="N15" s="41">
        <v>155</v>
      </c>
      <c r="O15" s="76">
        <f t="shared" si="0"/>
        <v>17.3</v>
      </c>
      <c r="P15" s="41">
        <v>24</v>
      </c>
      <c r="Q15" s="43" t="s">
        <v>2297</v>
      </c>
    </row>
    <row r="16" spans="1:17" s="41" customFormat="1" ht="10.199999999999999" x14ac:dyDescent="0.2">
      <c r="A16" s="41">
        <v>1</v>
      </c>
      <c r="B16" s="41">
        <v>1186</v>
      </c>
      <c r="C16" s="250">
        <v>44981</v>
      </c>
      <c r="D16" s="41" t="s">
        <v>2256</v>
      </c>
      <c r="E16" s="41" t="s">
        <v>532</v>
      </c>
      <c r="F16" s="41" t="s">
        <v>2303</v>
      </c>
      <c r="G16" s="41" t="s">
        <v>1830</v>
      </c>
      <c r="H16" s="41">
        <v>150</v>
      </c>
      <c r="M16" s="59">
        <v>0.62013888888888891</v>
      </c>
      <c r="N16" s="41">
        <v>6</v>
      </c>
      <c r="O16" s="76">
        <f t="shared" si="0"/>
        <v>17.400000000000002</v>
      </c>
      <c r="Q16" s="43" t="s">
        <v>2304</v>
      </c>
    </row>
    <row r="17" spans="1:18" s="41" customFormat="1" ht="20.399999999999999" x14ac:dyDescent="0.2">
      <c r="A17" s="41">
        <v>1</v>
      </c>
      <c r="B17" s="41">
        <v>1187</v>
      </c>
      <c r="C17" s="250">
        <v>44990</v>
      </c>
      <c r="D17" s="41" t="s">
        <v>2154</v>
      </c>
      <c r="E17" s="41" t="s">
        <v>532</v>
      </c>
      <c r="F17" s="41" t="s">
        <v>2050</v>
      </c>
      <c r="I17" s="41" t="s">
        <v>1650</v>
      </c>
      <c r="J17" s="41" t="s">
        <v>1877</v>
      </c>
      <c r="M17" s="59">
        <v>0.55347222222222225</v>
      </c>
      <c r="N17" s="41">
        <v>35</v>
      </c>
      <c r="O17" s="76">
        <f t="shared" si="0"/>
        <v>17.983333333333334</v>
      </c>
      <c r="Q17" s="43" t="s">
        <v>2305</v>
      </c>
    </row>
    <row r="18" spans="1:18" s="41" customFormat="1" ht="20.399999999999999" x14ac:dyDescent="0.2">
      <c r="A18" s="41">
        <v>1</v>
      </c>
      <c r="B18" s="41">
        <v>1188</v>
      </c>
      <c r="C18" s="250">
        <v>45005</v>
      </c>
      <c r="D18" s="41" t="s">
        <v>2256</v>
      </c>
      <c r="E18" s="41" t="s">
        <v>532</v>
      </c>
      <c r="F18" s="41" t="s">
        <v>2050</v>
      </c>
      <c r="G18" s="41" t="s">
        <v>2193</v>
      </c>
      <c r="I18" s="41" t="s">
        <v>1650</v>
      </c>
      <c r="J18" s="41" t="s">
        <v>1877</v>
      </c>
      <c r="M18" s="59">
        <v>0.52569444444444446</v>
      </c>
      <c r="N18" s="41">
        <v>130</v>
      </c>
      <c r="O18" s="76">
        <f t="shared" si="0"/>
        <v>20.150000000000002</v>
      </c>
      <c r="Q18" s="43" t="s">
        <v>2308</v>
      </c>
    </row>
    <row r="19" spans="1:18" s="41" customFormat="1" ht="112.2" x14ac:dyDescent="0.2">
      <c r="A19" s="41">
        <v>1</v>
      </c>
      <c r="B19" s="41">
        <v>1189</v>
      </c>
      <c r="C19" s="250">
        <v>45007</v>
      </c>
      <c r="D19" s="41" t="s">
        <v>2256</v>
      </c>
      <c r="E19" s="41" t="s">
        <v>532</v>
      </c>
      <c r="F19" s="41" t="s">
        <v>2050</v>
      </c>
      <c r="G19" s="41" t="s">
        <v>2193</v>
      </c>
      <c r="I19" s="41" t="s">
        <v>2306</v>
      </c>
      <c r="J19" s="41" t="s">
        <v>1182</v>
      </c>
      <c r="K19" s="41" t="s">
        <v>2307</v>
      </c>
      <c r="L19" s="41">
        <v>2319</v>
      </c>
      <c r="M19" s="59">
        <v>0.48958333333333331</v>
      </c>
      <c r="N19" s="41">
        <v>160</v>
      </c>
      <c r="O19" s="76">
        <f t="shared" si="0"/>
        <v>22.81666666666667</v>
      </c>
      <c r="P19" s="41">
        <v>50</v>
      </c>
      <c r="Q19" s="43" t="s">
        <v>2309</v>
      </c>
    </row>
    <row r="20" spans="1:18" s="41" customFormat="1" ht="61.2" x14ac:dyDescent="0.2">
      <c r="A20" s="41">
        <v>1</v>
      </c>
      <c r="B20" s="41">
        <v>1190</v>
      </c>
      <c r="C20" s="250">
        <v>45008</v>
      </c>
      <c r="D20" s="41" t="s">
        <v>2256</v>
      </c>
      <c r="E20" s="41" t="s">
        <v>532</v>
      </c>
      <c r="F20" s="41" t="s">
        <v>2050</v>
      </c>
      <c r="G20" s="41" t="s">
        <v>2193</v>
      </c>
      <c r="I20" s="41" t="s">
        <v>1650</v>
      </c>
      <c r="J20" s="41" t="s">
        <v>1877</v>
      </c>
      <c r="L20" s="41">
        <v>1590</v>
      </c>
      <c r="M20" s="59">
        <v>0.49652777777777773</v>
      </c>
      <c r="N20" s="41">
        <v>90</v>
      </c>
      <c r="O20" s="76">
        <f t="shared" si="0"/>
        <v>24.31666666666667</v>
      </c>
      <c r="Q20" s="43" t="s">
        <v>2310</v>
      </c>
    </row>
    <row r="21" spans="1:18" s="41" customFormat="1" ht="81.599999999999994" x14ac:dyDescent="0.2">
      <c r="A21" s="41">
        <v>1</v>
      </c>
      <c r="B21" s="41">
        <v>1191</v>
      </c>
      <c r="C21" s="250">
        <v>45014</v>
      </c>
      <c r="D21" s="41" t="s">
        <v>2284</v>
      </c>
      <c r="E21" s="41" t="s">
        <v>532</v>
      </c>
      <c r="F21" s="41" t="s">
        <v>1836</v>
      </c>
      <c r="G21" s="41" t="s">
        <v>1830</v>
      </c>
      <c r="H21" s="41">
        <v>400</v>
      </c>
      <c r="I21" s="41" t="s">
        <v>1650</v>
      </c>
      <c r="J21" s="41" t="s">
        <v>1182</v>
      </c>
      <c r="K21" s="41" t="s">
        <v>2311</v>
      </c>
      <c r="L21" s="41">
        <v>3620</v>
      </c>
      <c r="M21" s="59">
        <v>0.54861111111111105</v>
      </c>
      <c r="N21" s="41">
        <v>141</v>
      </c>
      <c r="O21" s="76">
        <f t="shared" si="0"/>
        <v>26.666666666666671</v>
      </c>
      <c r="P21" s="41">
        <v>35</v>
      </c>
      <c r="Q21" s="43" t="s">
        <v>2313</v>
      </c>
      <c r="R21" s="41" t="s">
        <v>2312</v>
      </c>
    </row>
    <row r="22" spans="1:18" s="41" customFormat="1" ht="10.199999999999999" x14ac:dyDescent="0.2">
      <c r="A22" s="41">
        <v>1</v>
      </c>
      <c r="B22" s="41">
        <v>1192</v>
      </c>
      <c r="C22" s="250">
        <v>45021</v>
      </c>
      <c r="D22" s="41" t="s">
        <v>2256</v>
      </c>
      <c r="E22" s="41" t="s">
        <v>532</v>
      </c>
      <c r="F22" s="41" t="s">
        <v>2050</v>
      </c>
      <c r="G22" s="41" t="s">
        <v>2193</v>
      </c>
      <c r="I22" s="41" t="s">
        <v>1650</v>
      </c>
      <c r="K22" s="41" t="s">
        <v>552</v>
      </c>
      <c r="L22" s="41">
        <v>1811</v>
      </c>
      <c r="M22" s="59">
        <v>0.53333333333333333</v>
      </c>
      <c r="N22" s="41">
        <v>102</v>
      </c>
      <c r="O22" s="76">
        <f t="shared" si="0"/>
        <v>28.366666666666671</v>
      </c>
      <c r="Q22" s="43" t="s">
        <v>2314</v>
      </c>
    </row>
    <row r="23" spans="1:18" s="41" customFormat="1" ht="71.400000000000006" x14ac:dyDescent="0.2">
      <c r="A23" s="41">
        <v>1</v>
      </c>
      <c r="B23" s="41">
        <v>1193</v>
      </c>
      <c r="C23" s="250">
        <v>45023</v>
      </c>
      <c r="D23" s="41" t="s">
        <v>2256</v>
      </c>
      <c r="E23" s="41" t="s">
        <v>532</v>
      </c>
      <c r="F23" s="41" t="s">
        <v>2050</v>
      </c>
      <c r="G23" s="41" t="s">
        <v>1830</v>
      </c>
      <c r="H23" s="41">
        <v>700</v>
      </c>
      <c r="I23" s="41" t="s">
        <v>1650</v>
      </c>
      <c r="J23" s="41" t="s">
        <v>1182</v>
      </c>
      <c r="K23" s="41" t="s">
        <v>552</v>
      </c>
      <c r="L23" s="41">
        <v>1871</v>
      </c>
      <c r="M23" s="59">
        <v>0.50624999999999998</v>
      </c>
      <c r="N23" s="41">
        <v>196</v>
      </c>
      <c r="O23" s="76">
        <f t="shared" si="0"/>
        <v>31.633333333333336</v>
      </c>
      <c r="P23" s="41">
        <v>30</v>
      </c>
      <c r="Q23" s="43" t="s">
        <v>2315</v>
      </c>
    </row>
    <row r="24" spans="1:18" s="41" customFormat="1" ht="91.8" x14ac:dyDescent="0.2">
      <c r="A24" s="41">
        <v>1</v>
      </c>
      <c r="B24" s="41">
        <v>1194</v>
      </c>
      <c r="C24" s="250">
        <v>45024</v>
      </c>
      <c r="D24" s="41" t="s">
        <v>2256</v>
      </c>
      <c r="E24" s="41" t="s">
        <v>532</v>
      </c>
      <c r="F24" s="41" t="s">
        <v>2050</v>
      </c>
      <c r="G24" s="41" t="s">
        <v>2193</v>
      </c>
      <c r="I24" s="41" t="s">
        <v>1875</v>
      </c>
      <c r="J24" s="41" t="s">
        <v>1182</v>
      </c>
      <c r="K24" s="41" t="s">
        <v>552</v>
      </c>
      <c r="L24" s="41">
        <v>2153</v>
      </c>
      <c r="M24" s="59">
        <v>0.50208333333333333</v>
      </c>
      <c r="N24" s="41">
        <v>232</v>
      </c>
      <c r="O24" s="76">
        <f t="shared" si="0"/>
        <v>35.5</v>
      </c>
      <c r="P24" s="41">
        <v>68</v>
      </c>
      <c r="Q24" s="43" t="s">
        <v>2317</v>
      </c>
    </row>
    <row r="25" spans="1:18" s="41" customFormat="1" ht="30.6" x14ac:dyDescent="0.2">
      <c r="A25" s="41">
        <v>1</v>
      </c>
      <c r="B25" s="41">
        <v>1195</v>
      </c>
      <c r="C25" s="250">
        <v>45025</v>
      </c>
      <c r="D25" s="41" t="s">
        <v>2154</v>
      </c>
      <c r="E25" s="41" t="s">
        <v>532</v>
      </c>
      <c r="F25" s="41" t="s">
        <v>2050</v>
      </c>
      <c r="G25" s="41" t="s">
        <v>2193</v>
      </c>
      <c r="I25" s="41" t="s">
        <v>1650</v>
      </c>
      <c r="J25" s="41" t="s">
        <v>1877</v>
      </c>
      <c r="K25" s="41" t="s">
        <v>552</v>
      </c>
      <c r="L25" s="41">
        <v>1550</v>
      </c>
      <c r="M25" s="59">
        <v>0.58333333333333337</v>
      </c>
      <c r="N25" s="41">
        <v>53</v>
      </c>
      <c r="O25" s="76">
        <f t="shared" si="0"/>
        <v>36.383333333333333</v>
      </c>
      <c r="Q25" s="43" t="s">
        <v>2318</v>
      </c>
    </row>
    <row r="26" spans="1:18" s="41" customFormat="1" ht="20.399999999999999" x14ac:dyDescent="0.2">
      <c r="A26" s="41">
        <v>1</v>
      </c>
      <c r="B26" s="41">
        <v>1196</v>
      </c>
      <c r="C26" s="250">
        <v>45026</v>
      </c>
      <c r="D26" s="41" t="s">
        <v>2154</v>
      </c>
      <c r="E26" s="41" t="s">
        <v>532</v>
      </c>
      <c r="F26" s="41" t="s">
        <v>2050</v>
      </c>
      <c r="G26" s="41" t="s">
        <v>1830</v>
      </c>
      <c r="H26" s="41">
        <v>700</v>
      </c>
      <c r="I26" s="41" t="s">
        <v>1650</v>
      </c>
      <c r="J26" s="41" t="s">
        <v>1877</v>
      </c>
      <c r="K26" s="41" t="s">
        <v>552</v>
      </c>
      <c r="M26" s="59">
        <v>0.54166666666666663</v>
      </c>
      <c r="N26" s="41">
        <v>20</v>
      </c>
      <c r="O26" s="76">
        <f t="shared" si="0"/>
        <v>36.716666666666669</v>
      </c>
      <c r="Q26" s="43" t="s">
        <v>2319</v>
      </c>
    </row>
    <row r="27" spans="1:18" s="41" customFormat="1" ht="30.6" x14ac:dyDescent="0.2">
      <c r="A27" s="41">
        <v>1</v>
      </c>
      <c r="B27" s="41">
        <v>1197</v>
      </c>
      <c r="C27" s="250">
        <v>45155</v>
      </c>
      <c r="D27" s="41" t="s">
        <v>2256</v>
      </c>
      <c r="E27" s="41" t="s">
        <v>532</v>
      </c>
      <c r="F27" s="41" t="s">
        <v>2050</v>
      </c>
      <c r="G27" s="41" t="s">
        <v>2193</v>
      </c>
      <c r="I27" s="41" t="s">
        <v>1650</v>
      </c>
      <c r="J27" s="41" t="s">
        <v>1877</v>
      </c>
      <c r="K27" s="41" t="s">
        <v>2320</v>
      </c>
      <c r="L27" s="41">
        <v>1900</v>
      </c>
      <c r="M27" s="59">
        <v>0.5</v>
      </c>
      <c r="N27" s="41">
        <v>125</v>
      </c>
      <c r="O27" s="76">
        <f t="shared" si="0"/>
        <v>38.800000000000004</v>
      </c>
      <c r="Q27" s="43" t="s">
        <v>2322</v>
      </c>
    </row>
    <row r="28" spans="1:18" s="41" customFormat="1" ht="20.399999999999999" x14ac:dyDescent="0.2">
      <c r="A28" s="41">
        <v>1</v>
      </c>
      <c r="B28" s="41">
        <v>1198</v>
      </c>
      <c r="C28" s="250">
        <v>45034</v>
      </c>
      <c r="D28" s="41" t="s">
        <v>2256</v>
      </c>
      <c r="E28" s="41" t="s">
        <v>532</v>
      </c>
      <c r="F28" s="41" t="s">
        <v>2050</v>
      </c>
      <c r="G28" s="41" t="s">
        <v>2193</v>
      </c>
      <c r="I28" s="41" t="s">
        <v>1650</v>
      </c>
      <c r="J28" s="41" t="s">
        <v>1877</v>
      </c>
      <c r="K28" s="41" t="s">
        <v>2321</v>
      </c>
      <c r="L28" s="41">
        <v>1700</v>
      </c>
      <c r="M28" s="59">
        <v>0.47916666666666669</v>
      </c>
      <c r="N28" s="41">
        <v>37</v>
      </c>
      <c r="O28" s="76">
        <f t="shared" si="0"/>
        <v>39.416666666666671</v>
      </c>
      <c r="Q28" s="43" t="s">
        <v>2323</v>
      </c>
    </row>
    <row r="29" spans="1:18" s="41" customFormat="1" ht="30.6" x14ac:dyDescent="0.2">
      <c r="A29" s="41">
        <v>1</v>
      </c>
      <c r="B29" s="41">
        <v>1199</v>
      </c>
      <c r="C29" s="250">
        <v>45035</v>
      </c>
      <c r="D29" s="41" t="s">
        <v>2256</v>
      </c>
      <c r="E29" s="41" t="s">
        <v>532</v>
      </c>
      <c r="F29" s="41" t="s">
        <v>2050</v>
      </c>
      <c r="G29" s="41" t="s">
        <v>2193</v>
      </c>
      <c r="I29" s="41" t="s">
        <v>2324</v>
      </c>
      <c r="J29" s="41" t="s">
        <v>1182</v>
      </c>
      <c r="K29" s="41" t="s">
        <v>2325</v>
      </c>
      <c r="L29" s="41">
        <v>2016</v>
      </c>
      <c r="M29" s="59">
        <v>0.5</v>
      </c>
      <c r="N29" s="41">
        <v>222</v>
      </c>
      <c r="O29" s="76">
        <f t="shared" si="0"/>
        <v>43.116666666666674</v>
      </c>
      <c r="P29" s="41">
        <v>44</v>
      </c>
      <c r="Q29" s="43" t="s">
        <v>2326</v>
      </c>
    </row>
    <row r="30" spans="1:18" s="41" customFormat="1" ht="40.799999999999997" x14ac:dyDescent="0.2">
      <c r="A30" s="41">
        <v>1</v>
      </c>
      <c r="B30" s="41">
        <v>1200</v>
      </c>
      <c r="C30" s="250">
        <v>45036</v>
      </c>
      <c r="D30" s="41" t="s">
        <v>2256</v>
      </c>
      <c r="E30" s="41" t="s">
        <v>532</v>
      </c>
      <c r="F30" s="41" t="s">
        <v>2050</v>
      </c>
      <c r="G30" s="41" t="s">
        <v>2193</v>
      </c>
      <c r="I30" s="41" t="s">
        <v>2328</v>
      </c>
      <c r="J30" s="41" t="s">
        <v>1182</v>
      </c>
      <c r="K30" s="41" t="s">
        <v>2329</v>
      </c>
      <c r="L30" s="41">
        <v>1965</v>
      </c>
      <c r="M30" s="59">
        <v>0.51180555555555551</v>
      </c>
      <c r="N30" s="41">
        <v>53</v>
      </c>
      <c r="O30" s="76">
        <f t="shared" si="0"/>
        <v>44.000000000000007</v>
      </c>
      <c r="P30" s="41">
        <v>19</v>
      </c>
      <c r="Q30" s="43" t="s">
        <v>2330</v>
      </c>
    </row>
    <row r="31" spans="1:18" s="41" customFormat="1" ht="40.799999999999997" x14ac:dyDescent="0.2">
      <c r="A31" s="41">
        <v>1</v>
      </c>
      <c r="B31" s="41">
        <v>1201</v>
      </c>
      <c r="C31" s="250">
        <v>45037</v>
      </c>
      <c r="D31" s="41" t="s">
        <v>2256</v>
      </c>
      <c r="E31" s="41" t="s">
        <v>532</v>
      </c>
      <c r="F31" s="41" t="s">
        <v>2050</v>
      </c>
      <c r="G31" s="41" t="s">
        <v>2193</v>
      </c>
      <c r="I31" s="41" t="s">
        <v>1650</v>
      </c>
      <c r="J31" s="41" t="s">
        <v>1877</v>
      </c>
      <c r="L31" s="41">
        <v>1644</v>
      </c>
      <c r="M31" s="59">
        <v>0.51111111111111118</v>
      </c>
      <c r="N31" s="41">
        <v>202</v>
      </c>
      <c r="O31" s="76">
        <f t="shared" si="0"/>
        <v>47.366666666666674</v>
      </c>
      <c r="Q31" s="43" t="s">
        <v>2331</v>
      </c>
    </row>
    <row r="32" spans="1:18" s="41" customFormat="1" ht="61.2" x14ac:dyDescent="0.2">
      <c r="A32" s="41">
        <v>1</v>
      </c>
      <c r="B32" s="41">
        <v>1202</v>
      </c>
      <c r="C32" s="250">
        <v>45043</v>
      </c>
      <c r="D32" s="41" t="s">
        <v>2256</v>
      </c>
      <c r="E32" s="41" t="s">
        <v>532</v>
      </c>
      <c r="F32" s="41" t="s">
        <v>2050</v>
      </c>
      <c r="G32" s="41" t="s">
        <v>1830</v>
      </c>
      <c r="H32" s="41">
        <v>700</v>
      </c>
      <c r="I32" s="41" t="s">
        <v>1650</v>
      </c>
      <c r="J32" s="41" t="s">
        <v>1182</v>
      </c>
      <c r="L32" s="41">
        <v>1873</v>
      </c>
      <c r="M32" s="59">
        <v>0.53402777777777777</v>
      </c>
      <c r="N32" s="41">
        <v>187</v>
      </c>
      <c r="O32" s="76">
        <f t="shared" si="0"/>
        <v>50.483333333333341</v>
      </c>
      <c r="P32" s="41">
        <v>24</v>
      </c>
      <c r="Q32" s="43" t="s">
        <v>2332</v>
      </c>
    </row>
    <row r="33" spans="1:17" s="41" customFormat="1" ht="51" x14ac:dyDescent="0.2">
      <c r="A33" s="41">
        <v>1</v>
      </c>
      <c r="B33" s="41">
        <v>1203</v>
      </c>
      <c r="C33" s="250">
        <v>45048</v>
      </c>
      <c r="D33" s="41" t="s">
        <v>2256</v>
      </c>
      <c r="E33" s="41" t="s">
        <v>532</v>
      </c>
      <c r="F33" s="41" t="s">
        <v>2050</v>
      </c>
      <c r="G33" s="41" t="s">
        <v>2193</v>
      </c>
      <c r="I33" s="41" t="s">
        <v>2333</v>
      </c>
      <c r="J33" s="41" t="s">
        <v>1182</v>
      </c>
      <c r="K33" s="41" t="s">
        <v>2334</v>
      </c>
      <c r="L33" s="41">
        <v>1670</v>
      </c>
      <c r="M33" s="59">
        <v>0.5131944444444444</v>
      </c>
      <c r="N33" s="41">
        <v>172</v>
      </c>
      <c r="O33" s="76">
        <f t="shared" si="0"/>
        <v>53.350000000000009</v>
      </c>
      <c r="P33" s="41">
        <v>30</v>
      </c>
      <c r="Q33" s="43" t="s">
        <v>2335</v>
      </c>
    </row>
    <row r="34" spans="1:17" s="41" customFormat="1" ht="81.599999999999994" x14ac:dyDescent="0.2">
      <c r="A34" s="41">
        <v>1</v>
      </c>
      <c r="B34" s="41">
        <v>1204</v>
      </c>
      <c r="C34" s="250">
        <v>45050</v>
      </c>
      <c r="D34" s="41" t="s">
        <v>2256</v>
      </c>
      <c r="E34" s="41" t="s">
        <v>532</v>
      </c>
      <c r="F34" s="41" t="s">
        <v>2050</v>
      </c>
      <c r="G34" s="41" t="s">
        <v>2193</v>
      </c>
      <c r="I34" s="41" t="s">
        <v>2336</v>
      </c>
      <c r="J34" s="41" t="s">
        <v>1182</v>
      </c>
      <c r="K34" s="41" t="s">
        <v>1762</v>
      </c>
      <c r="L34" s="41">
        <v>2000</v>
      </c>
      <c r="M34" s="59">
        <v>0.48541666666666666</v>
      </c>
      <c r="N34" s="41">
        <v>180</v>
      </c>
      <c r="O34" s="76">
        <f t="shared" si="0"/>
        <v>56.350000000000009</v>
      </c>
      <c r="P34" s="41">
        <v>34.4</v>
      </c>
      <c r="Q34" s="43" t="s">
        <v>2337</v>
      </c>
    </row>
    <row r="35" spans="1:17" s="41" customFormat="1" ht="10.199999999999999" x14ac:dyDescent="0.2">
      <c r="A35" s="41">
        <v>1</v>
      </c>
      <c r="B35" s="41">
        <v>1205</v>
      </c>
      <c r="C35" s="250">
        <v>45052</v>
      </c>
      <c r="M35" s="59"/>
      <c r="O35" s="76">
        <f t="shared" si="0"/>
        <v>56.350000000000009</v>
      </c>
      <c r="Q35" s="43" t="s">
        <v>2338</v>
      </c>
    </row>
    <row r="36" spans="1:17" s="41" customFormat="1" ht="30.6" x14ac:dyDescent="0.2">
      <c r="A36" s="41">
        <v>1</v>
      </c>
      <c r="B36" s="41">
        <v>1206</v>
      </c>
      <c r="C36" s="250">
        <v>45054</v>
      </c>
      <c r="D36" s="41" t="s">
        <v>2154</v>
      </c>
      <c r="E36" s="41" t="s">
        <v>532</v>
      </c>
      <c r="F36" s="41" t="s">
        <v>2339</v>
      </c>
      <c r="G36" s="41" t="s">
        <v>2193</v>
      </c>
      <c r="H36" s="41">
        <v>350</v>
      </c>
      <c r="I36" s="41" t="s">
        <v>1650</v>
      </c>
      <c r="J36" s="41" t="s">
        <v>1877</v>
      </c>
      <c r="M36" s="59">
        <v>0.47916666666666669</v>
      </c>
      <c r="N36" s="41">
        <v>4</v>
      </c>
      <c r="O36" s="76">
        <f t="shared" si="0"/>
        <v>56.416666666666679</v>
      </c>
      <c r="Q36" s="43" t="s">
        <v>2340</v>
      </c>
    </row>
    <row r="37" spans="1:17" s="41" customFormat="1" ht="20.399999999999999" x14ac:dyDescent="0.2">
      <c r="A37" s="41">
        <v>1</v>
      </c>
      <c r="B37" s="41">
        <v>1207</v>
      </c>
      <c r="C37" s="250">
        <v>45054</v>
      </c>
      <c r="D37" s="41" t="s">
        <v>2154</v>
      </c>
      <c r="E37" s="41" t="s">
        <v>532</v>
      </c>
      <c r="F37" s="41" t="s">
        <v>2050</v>
      </c>
      <c r="G37" s="41" t="s">
        <v>2193</v>
      </c>
      <c r="H37" s="41">
        <v>700</v>
      </c>
      <c r="I37" s="41" t="s">
        <v>1650</v>
      </c>
      <c r="J37" s="41" t="s">
        <v>1877</v>
      </c>
      <c r="M37" s="59">
        <v>0.54166666666666663</v>
      </c>
      <c r="N37" s="41">
        <v>11</v>
      </c>
      <c r="O37" s="76">
        <f t="shared" si="0"/>
        <v>56.600000000000009</v>
      </c>
      <c r="Q37" s="43" t="s">
        <v>2341</v>
      </c>
    </row>
    <row r="38" spans="1:17" s="41" customFormat="1" ht="20.399999999999999" x14ac:dyDescent="0.2">
      <c r="A38" s="41">
        <v>1</v>
      </c>
      <c r="B38" s="41">
        <v>1208</v>
      </c>
      <c r="C38" s="250">
        <v>45054</v>
      </c>
      <c r="D38" s="41" t="s">
        <v>2154</v>
      </c>
      <c r="E38" s="41" t="s">
        <v>532</v>
      </c>
      <c r="F38" s="41" t="s">
        <v>2050</v>
      </c>
      <c r="G38" s="41" t="s">
        <v>2193</v>
      </c>
      <c r="H38" s="41">
        <v>700</v>
      </c>
      <c r="I38" s="41" t="s">
        <v>1650</v>
      </c>
      <c r="J38" s="41" t="s">
        <v>1877</v>
      </c>
      <c r="M38" s="59">
        <v>0.58333333333333337</v>
      </c>
      <c r="N38" s="41">
        <v>67</v>
      </c>
      <c r="O38" s="76">
        <f t="shared" si="0"/>
        <v>57.716666666666676</v>
      </c>
      <c r="Q38" s="43" t="s">
        <v>2342</v>
      </c>
    </row>
    <row r="39" spans="1:17" s="41" customFormat="1" ht="10.199999999999999" x14ac:dyDescent="0.2">
      <c r="A39" s="41">
        <v>1</v>
      </c>
      <c r="B39" s="41">
        <v>1209</v>
      </c>
      <c r="C39" s="250">
        <v>45072</v>
      </c>
      <c r="D39" s="41" t="s">
        <v>2256</v>
      </c>
      <c r="E39" s="41" t="s">
        <v>532</v>
      </c>
      <c r="F39" s="41" t="s">
        <v>2050</v>
      </c>
      <c r="I39" s="41" t="s">
        <v>1650</v>
      </c>
      <c r="J39" s="41" t="s">
        <v>1877</v>
      </c>
      <c r="M39" s="59">
        <v>0.51874999999999993</v>
      </c>
      <c r="N39" s="41">
        <v>179</v>
      </c>
      <c r="O39" s="76">
        <f t="shared" si="0"/>
        <v>60.70000000000001</v>
      </c>
      <c r="Q39" s="43"/>
    </row>
    <row r="40" spans="1:17" s="41" customFormat="1" ht="10.199999999999999" x14ac:dyDescent="0.2">
      <c r="A40" s="41">
        <v>1</v>
      </c>
      <c r="B40" s="41">
        <v>1210</v>
      </c>
      <c r="C40" s="250">
        <v>45072</v>
      </c>
      <c r="D40" s="41" t="s">
        <v>2343</v>
      </c>
      <c r="E40" s="41" t="s">
        <v>532</v>
      </c>
      <c r="F40" s="41" t="s">
        <v>2050</v>
      </c>
      <c r="G40" s="41" t="s">
        <v>2193</v>
      </c>
      <c r="I40" s="41" t="s">
        <v>1650</v>
      </c>
      <c r="J40" s="41" t="s">
        <v>1877</v>
      </c>
      <c r="M40" s="59">
        <v>0.69444444444444453</v>
      </c>
      <c r="N40" s="41">
        <v>34</v>
      </c>
      <c r="O40" s="76">
        <f t="shared" si="0"/>
        <v>61.26666666666668</v>
      </c>
      <c r="Q40" s="43" t="s">
        <v>2344</v>
      </c>
    </row>
    <row r="41" spans="1:17" s="41" customFormat="1" ht="20.399999999999999" x14ac:dyDescent="0.2">
      <c r="A41" s="41">
        <v>1</v>
      </c>
      <c r="B41" s="41">
        <v>1211</v>
      </c>
      <c r="C41" s="250">
        <v>45073</v>
      </c>
      <c r="D41" s="41" t="s">
        <v>2343</v>
      </c>
      <c r="E41" s="41" t="s">
        <v>532</v>
      </c>
      <c r="F41" s="41" t="s">
        <v>2050</v>
      </c>
      <c r="G41" s="41" t="s">
        <v>2193</v>
      </c>
      <c r="I41" s="41" t="s">
        <v>1650</v>
      </c>
      <c r="J41" s="41" t="s">
        <v>1877</v>
      </c>
      <c r="M41" s="59">
        <v>0.53472222222222221</v>
      </c>
      <c r="N41" s="41">
        <v>47</v>
      </c>
      <c r="O41" s="76">
        <f t="shared" si="0"/>
        <v>62.050000000000011</v>
      </c>
      <c r="Q41" s="43" t="s">
        <v>2345</v>
      </c>
    </row>
    <row r="42" spans="1:17" s="41" customFormat="1" ht="10.199999999999999" x14ac:dyDescent="0.2">
      <c r="A42" s="41">
        <v>1</v>
      </c>
      <c r="B42" s="41">
        <v>1212</v>
      </c>
      <c r="C42" s="250">
        <v>45079</v>
      </c>
      <c r="D42" s="41" t="s">
        <v>2256</v>
      </c>
      <c r="E42" s="41" t="s">
        <v>532</v>
      </c>
      <c r="F42" s="41" t="s">
        <v>2050</v>
      </c>
      <c r="G42" s="41" t="s">
        <v>2193</v>
      </c>
      <c r="I42" s="41" t="s">
        <v>1650</v>
      </c>
      <c r="J42" s="41" t="s">
        <v>1877</v>
      </c>
      <c r="M42" s="59">
        <v>0.42708333333333331</v>
      </c>
      <c r="N42" s="41">
        <v>116</v>
      </c>
      <c r="O42" s="76">
        <f t="shared" si="0"/>
        <v>63.983333333333341</v>
      </c>
      <c r="Q42" s="43"/>
    </row>
    <row r="43" spans="1:17" s="41" customFormat="1" ht="10.199999999999999" x14ac:dyDescent="0.2">
      <c r="A43" s="41">
        <v>1</v>
      </c>
      <c r="B43" s="41">
        <v>1213</v>
      </c>
      <c r="C43" s="250">
        <v>45080</v>
      </c>
      <c r="D43" s="41" t="s">
        <v>2256</v>
      </c>
      <c r="E43" s="41" t="s">
        <v>532</v>
      </c>
      <c r="F43" s="41" t="s">
        <v>2050</v>
      </c>
      <c r="G43" s="41" t="s">
        <v>2193</v>
      </c>
      <c r="I43" s="41" t="s">
        <v>1650</v>
      </c>
      <c r="J43" s="41" t="s">
        <v>1877</v>
      </c>
      <c r="M43" s="59">
        <v>0.45833333333333331</v>
      </c>
      <c r="N43" s="41">
        <v>71</v>
      </c>
      <c r="O43" s="76">
        <f t="shared" si="0"/>
        <v>65.166666666666671</v>
      </c>
      <c r="Q43" s="43"/>
    </row>
    <row r="44" spans="1:17" s="41" customFormat="1" ht="10.199999999999999" x14ac:dyDescent="0.2">
      <c r="A44" s="41">
        <v>1</v>
      </c>
      <c r="B44" s="41">
        <v>1214</v>
      </c>
      <c r="C44" s="250">
        <v>45081</v>
      </c>
      <c r="D44" s="41" t="s">
        <v>2256</v>
      </c>
      <c r="E44" s="41" t="s">
        <v>532</v>
      </c>
      <c r="F44" s="41" t="s">
        <v>2050</v>
      </c>
      <c r="G44" s="41" t="s">
        <v>2193</v>
      </c>
      <c r="I44" s="41" t="s">
        <v>1650</v>
      </c>
      <c r="J44" s="41" t="s">
        <v>1877</v>
      </c>
      <c r="M44" s="59">
        <v>0.4861111111111111</v>
      </c>
      <c r="N44" s="41">
        <v>65</v>
      </c>
      <c r="O44" s="76">
        <f t="shared" si="0"/>
        <v>66.25</v>
      </c>
      <c r="Q44" s="43"/>
    </row>
    <row r="45" spans="1:17" s="41" customFormat="1" ht="30.6" x14ac:dyDescent="0.2">
      <c r="A45" s="41">
        <v>1</v>
      </c>
      <c r="B45" s="41">
        <v>1215</v>
      </c>
      <c r="C45" s="250">
        <v>45082</v>
      </c>
      <c r="D45" s="41" t="s">
        <v>2256</v>
      </c>
      <c r="E45" s="41" t="s">
        <v>532</v>
      </c>
      <c r="F45" s="41" t="s">
        <v>2050</v>
      </c>
      <c r="G45" s="41" t="s">
        <v>2193</v>
      </c>
      <c r="I45" s="41" t="s">
        <v>1650</v>
      </c>
      <c r="J45" s="41" t="s">
        <v>1877</v>
      </c>
      <c r="M45" s="59">
        <v>0.42777777777777781</v>
      </c>
      <c r="N45" s="41">
        <v>103</v>
      </c>
      <c r="O45" s="76">
        <f t="shared" si="0"/>
        <v>67.966666666666669</v>
      </c>
      <c r="Q45" s="43" t="s">
        <v>2346</v>
      </c>
    </row>
    <row r="46" spans="1:17" s="41" customFormat="1" ht="10.199999999999999" x14ac:dyDescent="0.2">
      <c r="A46" s="41">
        <v>1</v>
      </c>
      <c r="B46" s="41">
        <v>1216</v>
      </c>
      <c r="C46" s="250">
        <v>45093</v>
      </c>
      <c r="D46" s="41" t="s">
        <v>2256</v>
      </c>
      <c r="E46" s="41" t="s">
        <v>532</v>
      </c>
      <c r="F46" s="41" t="s">
        <v>2050</v>
      </c>
      <c r="G46" s="41" t="s">
        <v>2193</v>
      </c>
      <c r="I46" s="41" t="s">
        <v>1650</v>
      </c>
      <c r="J46" s="41" t="s">
        <v>1877</v>
      </c>
      <c r="M46" s="59">
        <v>0.51388888888888895</v>
      </c>
      <c r="N46" s="41">
        <v>119</v>
      </c>
      <c r="O46" s="76">
        <f t="shared" si="0"/>
        <v>69.95</v>
      </c>
      <c r="Q46" s="43"/>
    </row>
    <row r="47" spans="1:17" s="41" customFormat="1" ht="10.199999999999999" x14ac:dyDescent="0.2">
      <c r="A47" s="41">
        <v>1</v>
      </c>
      <c r="B47" s="41">
        <v>1217</v>
      </c>
      <c r="C47" s="250">
        <v>45094</v>
      </c>
      <c r="D47" s="41" t="s">
        <v>2154</v>
      </c>
      <c r="E47" s="41" t="s">
        <v>532</v>
      </c>
      <c r="F47" s="41" t="s">
        <v>2050</v>
      </c>
      <c r="G47" s="41" t="s">
        <v>2193</v>
      </c>
      <c r="I47" s="41" t="s">
        <v>1650</v>
      </c>
      <c r="J47" s="41" t="s">
        <v>1877</v>
      </c>
      <c r="M47" s="59">
        <v>0.54861111111111105</v>
      </c>
      <c r="N47" s="41">
        <v>60</v>
      </c>
      <c r="O47" s="76">
        <f t="shared" si="0"/>
        <v>70.95</v>
      </c>
      <c r="Q47" s="43"/>
    </row>
    <row r="48" spans="1:17" s="41" customFormat="1" ht="61.2" x14ac:dyDescent="0.2">
      <c r="A48" s="41">
        <v>1</v>
      </c>
      <c r="B48" s="41">
        <v>1218</v>
      </c>
      <c r="C48" s="250">
        <v>45100</v>
      </c>
      <c r="D48" s="41" t="s">
        <v>2256</v>
      </c>
      <c r="E48" s="41" t="s">
        <v>532</v>
      </c>
      <c r="F48" s="41" t="s">
        <v>2050</v>
      </c>
      <c r="G48" s="41" t="s">
        <v>2193</v>
      </c>
      <c r="I48" s="41" t="s">
        <v>1650</v>
      </c>
      <c r="J48" s="41" t="s">
        <v>1877</v>
      </c>
      <c r="L48" s="41">
        <v>1284</v>
      </c>
      <c r="M48" s="59">
        <v>0.52083333333333337</v>
      </c>
      <c r="N48" s="41">
        <v>67</v>
      </c>
      <c r="O48" s="76">
        <f t="shared" si="0"/>
        <v>72.066666666666663</v>
      </c>
      <c r="Q48" s="43" t="s">
        <v>2347</v>
      </c>
    </row>
    <row r="49" spans="1:17" s="41" customFormat="1" ht="102" x14ac:dyDescent="0.2">
      <c r="A49" s="41">
        <v>1</v>
      </c>
      <c r="B49" s="41">
        <v>1219</v>
      </c>
      <c r="C49" s="250">
        <v>45105</v>
      </c>
      <c r="D49" s="41" t="s">
        <v>2256</v>
      </c>
      <c r="E49" s="41" t="s">
        <v>532</v>
      </c>
      <c r="F49" s="41" t="s">
        <v>2050</v>
      </c>
      <c r="G49" s="41" t="s">
        <v>1830</v>
      </c>
      <c r="H49" s="41">
        <v>700</v>
      </c>
      <c r="I49" s="41" t="s">
        <v>2348</v>
      </c>
      <c r="J49" s="41" t="s">
        <v>1182</v>
      </c>
      <c r="L49" s="41">
        <v>1450</v>
      </c>
      <c r="M49" s="59">
        <v>0.51388888888888895</v>
      </c>
      <c r="N49" s="41">
        <v>147</v>
      </c>
      <c r="O49" s="76">
        <f t="shared" si="0"/>
        <v>74.516666666666666</v>
      </c>
      <c r="P49" s="41">
        <v>32</v>
      </c>
      <c r="Q49" s="43" t="s">
        <v>2349</v>
      </c>
    </row>
    <row r="50" spans="1:17" s="41" customFormat="1" ht="10.199999999999999" x14ac:dyDescent="0.2">
      <c r="A50" s="41">
        <v>1</v>
      </c>
      <c r="B50" s="41">
        <v>1220</v>
      </c>
      <c r="C50" s="250">
        <v>45114</v>
      </c>
      <c r="D50" s="41" t="s">
        <v>2256</v>
      </c>
      <c r="E50" s="41" t="s">
        <v>532</v>
      </c>
      <c r="F50" s="41" t="s">
        <v>1836</v>
      </c>
      <c r="G50" s="41" t="s">
        <v>1830</v>
      </c>
      <c r="H50" s="41">
        <v>400</v>
      </c>
      <c r="I50" s="41" t="s">
        <v>1650</v>
      </c>
      <c r="J50" s="41" t="s">
        <v>1877</v>
      </c>
      <c r="M50" s="59">
        <v>0.5131944444444444</v>
      </c>
      <c r="N50" s="41">
        <v>103</v>
      </c>
      <c r="O50" s="76">
        <f t="shared" si="0"/>
        <v>76.233333333333334</v>
      </c>
      <c r="Q50" s="43"/>
    </row>
    <row r="51" spans="1:17" s="41" customFormat="1" ht="10.199999999999999" x14ac:dyDescent="0.2">
      <c r="A51" s="41">
        <v>1</v>
      </c>
      <c r="B51" s="41">
        <v>1221</v>
      </c>
      <c r="C51" s="250">
        <v>45115</v>
      </c>
      <c r="D51" s="41" t="s">
        <v>2256</v>
      </c>
      <c r="E51" s="41" t="s">
        <v>532</v>
      </c>
      <c r="F51" s="41" t="s">
        <v>2050</v>
      </c>
      <c r="G51" s="41" t="s">
        <v>2193</v>
      </c>
      <c r="I51" s="41" t="s">
        <v>2350</v>
      </c>
      <c r="J51" s="41" t="s">
        <v>1877</v>
      </c>
      <c r="L51" s="41">
        <v>1627</v>
      </c>
      <c r="M51" s="59">
        <v>0.5395833333333333</v>
      </c>
      <c r="N51" s="41">
        <v>105</v>
      </c>
      <c r="O51" s="76">
        <f t="shared" si="0"/>
        <v>77.983333333333334</v>
      </c>
      <c r="Q51" s="43"/>
    </row>
    <row r="52" spans="1:17" s="41" customFormat="1" ht="10.199999999999999" x14ac:dyDescent="0.2">
      <c r="A52" s="41">
        <v>1</v>
      </c>
      <c r="B52" s="41">
        <v>1222</v>
      </c>
      <c r="C52" s="250">
        <v>45121</v>
      </c>
      <c r="D52" s="41" t="s">
        <v>2154</v>
      </c>
      <c r="E52" s="41" t="s">
        <v>532</v>
      </c>
      <c r="F52" s="41" t="s">
        <v>2050</v>
      </c>
      <c r="G52" s="41" t="s">
        <v>2193</v>
      </c>
      <c r="I52" s="41" t="s">
        <v>1650</v>
      </c>
      <c r="J52" s="41" t="s">
        <v>1877</v>
      </c>
      <c r="M52" s="59">
        <v>0.4916666666666667</v>
      </c>
      <c r="N52" s="41">
        <v>10</v>
      </c>
      <c r="O52" s="76">
        <f t="shared" si="0"/>
        <v>78.150000000000006</v>
      </c>
      <c r="Q52" s="43" t="s">
        <v>2351</v>
      </c>
    </row>
    <row r="53" spans="1:17" s="41" customFormat="1" ht="10.199999999999999" x14ac:dyDescent="0.2">
      <c r="A53" s="41">
        <v>1</v>
      </c>
      <c r="B53" s="41">
        <v>1223</v>
      </c>
      <c r="C53" s="250">
        <v>45121</v>
      </c>
      <c r="D53" s="41" t="s">
        <v>2154</v>
      </c>
      <c r="E53" s="41" t="s">
        <v>532</v>
      </c>
      <c r="F53" s="41" t="s">
        <v>2050</v>
      </c>
      <c r="G53" s="41" t="s">
        <v>2193</v>
      </c>
      <c r="I53" s="41" t="s">
        <v>1650</v>
      </c>
      <c r="J53" s="41" t="s">
        <v>1877</v>
      </c>
      <c r="L53" s="41">
        <v>1307</v>
      </c>
      <c r="M53" s="59">
        <v>0.57638888888888895</v>
      </c>
      <c r="N53" s="41">
        <v>60</v>
      </c>
      <c r="O53" s="76">
        <f t="shared" si="0"/>
        <v>79.150000000000006</v>
      </c>
      <c r="Q53" s="43" t="s">
        <v>2085</v>
      </c>
    </row>
    <row r="54" spans="1:17" s="41" customFormat="1" ht="10.199999999999999" x14ac:dyDescent="0.2">
      <c r="A54" s="41">
        <v>1</v>
      </c>
      <c r="B54" s="41">
        <v>1224</v>
      </c>
      <c r="C54" s="250">
        <v>45124</v>
      </c>
      <c r="D54" s="41" t="s">
        <v>2154</v>
      </c>
      <c r="E54" s="41" t="s">
        <v>532</v>
      </c>
      <c r="F54" s="41" t="s">
        <v>2050</v>
      </c>
      <c r="G54" s="41" t="s">
        <v>2193</v>
      </c>
      <c r="I54" s="41" t="s">
        <v>1650</v>
      </c>
      <c r="J54" s="41" t="s">
        <v>1877</v>
      </c>
      <c r="L54" s="41">
        <v>1421</v>
      </c>
      <c r="M54" s="59">
        <v>0.52569444444444446</v>
      </c>
      <c r="N54" s="41">
        <v>40</v>
      </c>
      <c r="O54" s="76">
        <f t="shared" si="0"/>
        <v>79.816666666666677</v>
      </c>
      <c r="Q54" s="43" t="s">
        <v>2085</v>
      </c>
    </row>
    <row r="55" spans="1:17" s="41" customFormat="1" ht="10.199999999999999" x14ac:dyDescent="0.2">
      <c r="A55" s="41">
        <v>1</v>
      </c>
      <c r="B55" s="41">
        <v>1225</v>
      </c>
      <c r="C55" s="250">
        <v>45129</v>
      </c>
      <c r="D55" s="41" t="s">
        <v>2256</v>
      </c>
      <c r="E55" s="41" t="s">
        <v>532</v>
      </c>
      <c r="F55" s="41" t="s">
        <v>2050</v>
      </c>
      <c r="G55" s="41" t="s">
        <v>2193</v>
      </c>
      <c r="I55" s="41" t="s">
        <v>2352</v>
      </c>
      <c r="J55" s="41" t="s">
        <v>1182</v>
      </c>
      <c r="L55" s="41">
        <v>1448</v>
      </c>
      <c r="M55" s="59">
        <v>0.50763888888888886</v>
      </c>
      <c r="N55" s="41">
        <v>108</v>
      </c>
      <c r="O55" s="76">
        <f t="shared" si="0"/>
        <v>81.616666666666674</v>
      </c>
      <c r="Q55" s="43" t="s">
        <v>2353</v>
      </c>
    </row>
    <row r="56" spans="1:17" s="41" customFormat="1" ht="10.199999999999999" x14ac:dyDescent="0.2">
      <c r="A56" s="41">
        <v>1</v>
      </c>
      <c r="B56" s="41">
        <v>1226</v>
      </c>
      <c r="C56" s="250">
        <v>45130</v>
      </c>
      <c r="D56" s="41" t="s">
        <v>2256</v>
      </c>
      <c r="E56" s="41" t="s">
        <v>532</v>
      </c>
      <c r="F56" s="41" t="s">
        <v>2050</v>
      </c>
      <c r="G56" s="41" t="s">
        <v>2193</v>
      </c>
      <c r="I56" s="41" t="s">
        <v>1650</v>
      </c>
      <c r="J56" s="41" t="s">
        <v>1877</v>
      </c>
      <c r="M56" s="59">
        <v>0.4513888888888889</v>
      </c>
      <c r="N56" s="41">
        <v>30</v>
      </c>
      <c r="O56" s="76">
        <f t="shared" si="0"/>
        <v>82.116666666666674</v>
      </c>
      <c r="Q56" s="43" t="s">
        <v>2354</v>
      </c>
    </row>
    <row r="57" spans="1:17" s="41" customFormat="1" ht="10.199999999999999" x14ac:dyDescent="0.2">
      <c r="A57" s="41">
        <v>1</v>
      </c>
      <c r="B57" s="41">
        <v>1227</v>
      </c>
      <c r="C57" s="250">
        <v>45130</v>
      </c>
      <c r="D57" s="41" t="s">
        <v>2154</v>
      </c>
      <c r="E57" s="41" t="s">
        <v>532</v>
      </c>
      <c r="F57" s="41" t="s">
        <v>2050</v>
      </c>
      <c r="G57" s="41" t="s">
        <v>2193</v>
      </c>
      <c r="I57" s="41" t="s">
        <v>1650</v>
      </c>
      <c r="J57" s="41" t="s">
        <v>1877</v>
      </c>
      <c r="M57" s="59">
        <v>0.52083333333333337</v>
      </c>
      <c r="N57" s="41">
        <v>67</v>
      </c>
      <c r="O57" s="76">
        <f t="shared" si="0"/>
        <v>83.233333333333334</v>
      </c>
      <c r="Q57" s="43"/>
    </row>
    <row r="58" spans="1:17" s="41" customFormat="1" ht="40.799999999999997" x14ac:dyDescent="0.2">
      <c r="A58" s="41">
        <v>1</v>
      </c>
      <c r="B58" s="41">
        <v>1228</v>
      </c>
      <c r="C58" s="250">
        <v>45133</v>
      </c>
      <c r="D58" s="41" t="s">
        <v>2154</v>
      </c>
      <c r="E58" s="41" t="s">
        <v>532</v>
      </c>
      <c r="F58" s="41" t="s">
        <v>1550</v>
      </c>
      <c r="G58" s="41" t="s">
        <v>2193</v>
      </c>
      <c r="I58" s="41" t="s">
        <v>2355</v>
      </c>
      <c r="J58" s="41" t="s">
        <v>1877</v>
      </c>
      <c r="L58" s="41">
        <v>2588</v>
      </c>
      <c r="M58" s="59">
        <v>0.52430555555555558</v>
      </c>
      <c r="N58" s="41">
        <v>90</v>
      </c>
      <c r="O58" s="76">
        <f t="shared" si="0"/>
        <v>84.733333333333334</v>
      </c>
      <c r="Q58" s="43" t="s">
        <v>2356</v>
      </c>
    </row>
    <row r="59" spans="1:17" s="41" customFormat="1" ht="10.199999999999999" x14ac:dyDescent="0.2">
      <c r="A59" s="41">
        <v>1</v>
      </c>
      <c r="B59" s="41">
        <v>1229</v>
      </c>
      <c r="C59" s="250">
        <v>45134</v>
      </c>
      <c r="D59" s="41" t="s">
        <v>2256</v>
      </c>
      <c r="E59" s="41" t="s">
        <v>532</v>
      </c>
      <c r="F59" s="41" t="s">
        <v>2050</v>
      </c>
      <c r="G59" s="41" t="s">
        <v>2193</v>
      </c>
      <c r="I59" s="41" t="s">
        <v>1650</v>
      </c>
      <c r="J59" s="41" t="s">
        <v>1877</v>
      </c>
      <c r="M59" s="59">
        <v>0.5493055555555556</v>
      </c>
      <c r="N59" s="41">
        <v>62</v>
      </c>
      <c r="O59" s="76">
        <f t="shared" si="0"/>
        <v>85.766666666666666</v>
      </c>
      <c r="Q59" s="43"/>
    </row>
    <row r="60" spans="1:17" s="41" customFormat="1" ht="10.199999999999999" x14ac:dyDescent="0.2">
      <c r="A60" s="41">
        <v>1</v>
      </c>
      <c r="B60" s="41">
        <v>1230</v>
      </c>
      <c r="C60" s="250">
        <v>45135</v>
      </c>
      <c r="D60" s="41" t="s">
        <v>2256</v>
      </c>
      <c r="E60" s="41" t="s">
        <v>532</v>
      </c>
      <c r="F60" s="41" t="s">
        <v>2050</v>
      </c>
      <c r="G60" s="41" t="s">
        <v>2193</v>
      </c>
      <c r="I60" s="41" t="s">
        <v>1650</v>
      </c>
      <c r="J60" s="41" t="s">
        <v>1877</v>
      </c>
      <c r="M60" s="59">
        <v>0.56458333333333333</v>
      </c>
      <c r="N60" s="41">
        <v>21</v>
      </c>
      <c r="O60" s="76">
        <f t="shared" si="0"/>
        <v>86.11666666666666</v>
      </c>
      <c r="Q60" s="43"/>
    </row>
    <row r="61" spans="1:17" s="41" customFormat="1" ht="30.6" x14ac:dyDescent="0.2">
      <c r="A61" s="41">
        <v>1</v>
      </c>
      <c r="B61" s="41">
        <v>1231</v>
      </c>
      <c r="C61" s="250">
        <v>45145</v>
      </c>
      <c r="D61" s="41" t="s">
        <v>2256</v>
      </c>
      <c r="E61" s="41" t="s">
        <v>532</v>
      </c>
      <c r="F61" s="41" t="s">
        <v>2050</v>
      </c>
      <c r="G61" s="41" t="s">
        <v>2193</v>
      </c>
      <c r="I61" s="41" t="s">
        <v>1650</v>
      </c>
      <c r="J61" s="41" t="s">
        <v>1182</v>
      </c>
      <c r="L61" s="41">
        <v>1670</v>
      </c>
      <c r="M61" s="59">
        <v>0.54166666666666663</v>
      </c>
      <c r="N61" s="41">
        <v>210</v>
      </c>
      <c r="O61" s="76">
        <f t="shared" si="0"/>
        <v>89.61666666666666</v>
      </c>
      <c r="P61" s="41">
        <v>32</v>
      </c>
      <c r="Q61" s="43" t="s">
        <v>2357</v>
      </c>
    </row>
    <row r="62" spans="1:17" s="41" customFormat="1" ht="10.199999999999999" x14ac:dyDescent="0.2">
      <c r="A62" s="41">
        <v>1</v>
      </c>
      <c r="B62" s="41">
        <v>1232</v>
      </c>
      <c r="C62" s="250">
        <v>45146</v>
      </c>
      <c r="D62" s="41" t="s">
        <v>2256</v>
      </c>
      <c r="E62" s="41" t="s">
        <v>532</v>
      </c>
      <c r="F62" s="41" t="s">
        <v>2050</v>
      </c>
      <c r="G62" s="41" t="s">
        <v>1830</v>
      </c>
      <c r="H62" s="41">
        <v>700</v>
      </c>
      <c r="I62" s="41" t="s">
        <v>1650</v>
      </c>
      <c r="J62" s="41" t="s">
        <v>1182</v>
      </c>
      <c r="L62" s="41">
        <v>1350</v>
      </c>
      <c r="M62" s="59">
        <v>0.51527777777777783</v>
      </c>
      <c r="N62" s="41">
        <v>204</v>
      </c>
      <c r="O62" s="76">
        <f t="shared" si="0"/>
        <v>93.016666666666666</v>
      </c>
      <c r="Q62" s="43"/>
    </row>
    <row r="63" spans="1:17" s="41" customFormat="1" ht="10.199999999999999" x14ac:dyDescent="0.2">
      <c r="A63" s="41">
        <v>1</v>
      </c>
      <c r="B63" s="41">
        <v>1233</v>
      </c>
      <c r="C63" s="250">
        <v>45149</v>
      </c>
      <c r="D63" s="41" t="s">
        <v>2256</v>
      </c>
      <c r="E63" s="41" t="s">
        <v>532</v>
      </c>
      <c r="F63" s="41" t="s">
        <v>2050</v>
      </c>
      <c r="I63" s="41" t="s">
        <v>1650</v>
      </c>
      <c r="J63" s="41" t="s">
        <v>1877</v>
      </c>
      <c r="M63" s="59">
        <v>0.55555555555555558</v>
      </c>
      <c r="N63" s="41">
        <v>24</v>
      </c>
      <c r="O63" s="76">
        <f t="shared" si="0"/>
        <v>93.416666666666671</v>
      </c>
      <c r="Q63" s="43" t="s">
        <v>2358</v>
      </c>
    </row>
    <row r="64" spans="1:17" s="41" customFormat="1" ht="10.199999999999999" x14ac:dyDescent="0.2">
      <c r="A64" s="41">
        <v>1</v>
      </c>
      <c r="B64" s="41">
        <v>1234</v>
      </c>
      <c r="C64" s="250">
        <v>45150</v>
      </c>
      <c r="D64" s="41" t="s">
        <v>2256</v>
      </c>
      <c r="E64" s="41" t="s">
        <v>532</v>
      </c>
      <c r="F64" s="41" t="s">
        <v>2050</v>
      </c>
      <c r="G64" s="41" t="s">
        <v>2193</v>
      </c>
      <c r="I64" s="41" t="s">
        <v>1650</v>
      </c>
      <c r="J64" s="41" t="s">
        <v>1877</v>
      </c>
      <c r="M64" s="59">
        <v>0.45555555555555555</v>
      </c>
      <c r="N64" s="41">
        <v>33</v>
      </c>
      <c r="O64" s="76">
        <f t="shared" si="0"/>
        <v>93.966666666666669</v>
      </c>
      <c r="Q64" s="43" t="s">
        <v>2359</v>
      </c>
    </row>
    <row r="65" spans="1:17" s="41" customFormat="1" ht="10.199999999999999" x14ac:dyDescent="0.2">
      <c r="A65" s="41">
        <v>1</v>
      </c>
      <c r="B65" s="41">
        <v>1235</v>
      </c>
      <c r="C65" s="250">
        <v>45150</v>
      </c>
      <c r="D65" s="41" t="s">
        <v>2256</v>
      </c>
      <c r="E65" s="41" t="s">
        <v>532</v>
      </c>
      <c r="F65" s="41" t="s">
        <v>2050</v>
      </c>
      <c r="G65" s="41" t="s">
        <v>2193</v>
      </c>
      <c r="I65" s="41" t="s">
        <v>1650</v>
      </c>
      <c r="J65" s="41" t="s">
        <v>1877</v>
      </c>
      <c r="M65" s="59">
        <v>0.53888888888888886</v>
      </c>
      <c r="N65" s="41">
        <v>23</v>
      </c>
      <c r="O65" s="76">
        <f t="shared" si="0"/>
        <v>94.350000000000009</v>
      </c>
      <c r="Q65" s="43"/>
    </row>
    <row r="66" spans="1:17" s="41" customFormat="1" ht="10.199999999999999" x14ac:dyDescent="0.2">
      <c r="A66" s="41">
        <v>1</v>
      </c>
      <c r="B66" s="41">
        <v>1236</v>
      </c>
      <c r="C66" s="250">
        <v>45150</v>
      </c>
      <c r="D66" s="41" t="s">
        <v>2256</v>
      </c>
      <c r="E66" s="41" t="s">
        <v>532</v>
      </c>
      <c r="F66" s="41" t="s">
        <v>2050</v>
      </c>
      <c r="G66" s="41" t="s">
        <v>2193</v>
      </c>
      <c r="I66" s="41" t="s">
        <v>1650</v>
      </c>
      <c r="J66" s="41" t="s">
        <v>1877</v>
      </c>
      <c r="M66" s="59">
        <v>0.61041666666666672</v>
      </c>
      <c r="N66" s="41">
        <v>11</v>
      </c>
      <c r="O66" s="76">
        <f t="shared" si="0"/>
        <v>94.533333333333346</v>
      </c>
      <c r="Q66" s="43"/>
    </row>
    <row r="67" spans="1:17" s="41" customFormat="1" ht="10.199999999999999" x14ac:dyDescent="0.2">
      <c r="A67" s="41">
        <v>1</v>
      </c>
      <c r="B67" s="41">
        <v>1237</v>
      </c>
      <c r="C67" s="250">
        <v>45151</v>
      </c>
      <c r="D67" s="41" t="s">
        <v>2256</v>
      </c>
      <c r="E67" s="41" t="s">
        <v>532</v>
      </c>
      <c r="F67" s="41" t="s">
        <v>2050</v>
      </c>
      <c r="G67" s="41" t="s">
        <v>2193</v>
      </c>
      <c r="I67" s="41" t="s">
        <v>1650</v>
      </c>
      <c r="J67" s="41" t="s">
        <v>1877</v>
      </c>
      <c r="M67" s="59">
        <v>0.59097222222222223</v>
      </c>
      <c r="N67" s="41">
        <v>10</v>
      </c>
      <c r="O67" s="76">
        <f t="shared" si="0"/>
        <v>94.700000000000017</v>
      </c>
      <c r="Q67" s="43" t="s">
        <v>2360</v>
      </c>
    </row>
    <row r="68" spans="1:17" ht="21" x14ac:dyDescent="0.25">
      <c r="A68" s="41">
        <v>1</v>
      </c>
      <c r="B68" s="41">
        <v>1238</v>
      </c>
      <c r="C68" s="250">
        <v>45151</v>
      </c>
      <c r="D68" s="41" t="s">
        <v>2256</v>
      </c>
      <c r="E68" s="41" t="s">
        <v>532</v>
      </c>
      <c r="F68" s="41" t="s">
        <v>2050</v>
      </c>
      <c r="G68" s="41" t="s">
        <v>2193</v>
      </c>
      <c r="I68" s="41" t="s">
        <v>1650</v>
      </c>
      <c r="J68" s="41" t="s">
        <v>1877</v>
      </c>
      <c r="M68" s="59">
        <v>0.6430555555555556</v>
      </c>
      <c r="N68" s="41">
        <v>8</v>
      </c>
      <c r="O68" s="76">
        <f t="shared" ref="O68:O110" si="1">O67+N68/60</f>
        <v>94.833333333333357</v>
      </c>
      <c r="Q68" s="43" t="s">
        <v>2361</v>
      </c>
    </row>
    <row r="69" spans="1:17" x14ac:dyDescent="0.25">
      <c r="A69" s="41">
        <v>1</v>
      </c>
      <c r="B69" s="41">
        <v>1239</v>
      </c>
      <c r="C69" s="250">
        <v>45152</v>
      </c>
      <c r="D69" s="41" t="s">
        <v>2154</v>
      </c>
      <c r="E69" s="41" t="s">
        <v>532</v>
      </c>
      <c r="F69" s="41" t="s">
        <v>2050</v>
      </c>
      <c r="G69" s="41" t="s">
        <v>2193</v>
      </c>
      <c r="I69" s="41" t="s">
        <v>1650</v>
      </c>
      <c r="J69" s="41" t="s">
        <v>1877</v>
      </c>
      <c r="M69" s="59">
        <v>0.4916666666666667</v>
      </c>
      <c r="N69" s="41">
        <v>16</v>
      </c>
      <c r="O69" s="76">
        <f t="shared" si="1"/>
        <v>95.100000000000023</v>
      </c>
      <c r="Q69" s="43" t="s">
        <v>2362</v>
      </c>
    </row>
    <row r="70" spans="1:17" x14ac:dyDescent="0.25">
      <c r="A70" s="41">
        <v>1</v>
      </c>
      <c r="B70" s="41">
        <v>1240</v>
      </c>
      <c r="C70" s="250">
        <v>45152</v>
      </c>
      <c r="D70" s="41" t="s">
        <v>2154</v>
      </c>
      <c r="E70" s="41" t="s">
        <v>532</v>
      </c>
      <c r="F70" s="41" t="s">
        <v>2050</v>
      </c>
      <c r="G70" s="41" t="s">
        <v>2193</v>
      </c>
      <c r="I70" s="41" t="s">
        <v>1650</v>
      </c>
      <c r="J70" s="41" t="s">
        <v>1877</v>
      </c>
      <c r="M70" s="59">
        <v>0.54652777777777783</v>
      </c>
      <c r="N70" s="41">
        <v>17</v>
      </c>
      <c r="O70" s="76">
        <f t="shared" si="1"/>
        <v>95.383333333333354</v>
      </c>
      <c r="Q70" s="43" t="s">
        <v>2363</v>
      </c>
    </row>
    <row r="71" spans="1:17" x14ac:dyDescent="0.25">
      <c r="A71" s="41">
        <v>1</v>
      </c>
      <c r="B71" s="41">
        <v>1241</v>
      </c>
      <c r="C71" s="250">
        <v>45157</v>
      </c>
      <c r="D71" s="41" t="s">
        <v>2256</v>
      </c>
      <c r="E71" s="41" t="s">
        <v>532</v>
      </c>
      <c r="F71" s="41" t="s">
        <v>2364</v>
      </c>
      <c r="G71" s="41" t="s">
        <v>1830</v>
      </c>
      <c r="H71" s="41">
        <v>200</v>
      </c>
      <c r="I71" s="41" t="s">
        <v>1650</v>
      </c>
      <c r="J71" s="41" t="s">
        <v>1877</v>
      </c>
      <c r="M71" s="59">
        <v>0.79791666666666661</v>
      </c>
      <c r="N71" s="41">
        <v>20</v>
      </c>
      <c r="O71" s="76">
        <f t="shared" si="1"/>
        <v>95.716666666666683</v>
      </c>
    </row>
    <row r="72" spans="1:17" x14ac:dyDescent="0.25">
      <c r="A72" s="41">
        <v>1</v>
      </c>
      <c r="B72" s="41">
        <v>1242</v>
      </c>
      <c r="C72" s="250">
        <v>45158</v>
      </c>
      <c r="D72" s="41" t="s">
        <v>2256</v>
      </c>
      <c r="E72" s="41" t="s">
        <v>532</v>
      </c>
      <c r="F72" s="41" t="s">
        <v>2050</v>
      </c>
      <c r="G72" s="41" t="s">
        <v>2193</v>
      </c>
      <c r="I72" s="41" t="s">
        <v>1650</v>
      </c>
      <c r="J72" s="41" t="s">
        <v>1877</v>
      </c>
      <c r="M72" s="59">
        <v>0.53333333333333333</v>
      </c>
      <c r="N72" s="41">
        <v>126</v>
      </c>
      <c r="O72" s="76">
        <f t="shared" si="1"/>
        <v>97.816666666666677</v>
      </c>
    </row>
    <row r="73" spans="1:17" ht="21" x14ac:dyDescent="0.25">
      <c r="A73" s="41">
        <v>1</v>
      </c>
      <c r="B73" s="41">
        <v>1243</v>
      </c>
      <c r="C73" s="250">
        <v>45159</v>
      </c>
      <c r="D73" s="41" t="s">
        <v>2256</v>
      </c>
      <c r="E73" s="41" t="s">
        <v>532</v>
      </c>
      <c r="F73" s="41" t="s">
        <v>1550</v>
      </c>
      <c r="G73" s="41" t="s">
        <v>2193</v>
      </c>
      <c r="I73" s="41" t="s">
        <v>2355</v>
      </c>
      <c r="J73" s="41" t="s">
        <v>1182</v>
      </c>
      <c r="L73" s="41">
        <v>3300</v>
      </c>
      <c r="M73" s="59">
        <v>0.54305555555555551</v>
      </c>
      <c r="N73" s="41">
        <v>161</v>
      </c>
      <c r="O73" s="76">
        <f t="shared" si="1"/>
        <v>100.50000000000001</v>
      </c>
      <c r="P73" s="41">
        <v>45</v>
      </c>
      <c r="Q73" s="43" t="s">
        <v>2366</v>
      </c>
    </row>
    <row r="74" spans="1:17" ht="21" x14ac:dyDescent="0.25">
      <c r="A74" s="41">
        <v>1</v>
      </c>
      <c r="B74" s="41">
        <v>1244</v>
      </c>
      <c r="C74" s="250">
        <v>45161</v>
      </c>
      <c r="D74" s="41" t="s">
        <v>2256</v>
      </c>
      <c r="E74" s="41" t="s">
        <v>532</v>
      </c>
      <c r="F74" s="41" t="s">
        <v>1550</v>
      </c>
      <c r="G74" s="41" t="s">
        <v>2193</v>
      </c>
      <c r="I74" s="41" t="s">
        <v>2355</v>
      </c>
      <c r="J74" s="41" t="s">
        <v>1182</v>
      </c>
      <c r="L74" s="41">
        <v>4265</v>
      </c>
      <c r="M74" s="59">
        <v>0.51180555555555551</v>
      </c>
      <c r="N74" s="41">
        <v>186</v>
      </c>
      <c r="O74" s="76">
        <f t="shared" si="1"/>
        <v>103.60000000000001</v>
      </c>
      <c r="P74" s="41">
        <v>50</v>
      </c>
      <c r="Q74" s="43" t="s">
        <v>2365</v>
      </c>
    </row>
    <row r="75" spans="1:17" ht="21" x14ac:dyDescent="0.25">
      <c r="A75" s="41">
        <v>1</v>
      </c>
      <c r="B75" s="41">
        <v>1245</v>
      </c>
      <c r="C75" s="250">
        <v>45162</v>
      </c>
      <c r="D75" s="41" t="s">
        <v>2256</v>
      </c>
      <c r="E75" s="41" t="s">
        <v>532</v>
      </c>
      <c r="F75" s="41" t="s">
        <v>2050</v>
      </c>
      <c r="G75" s="41" t="s">
        <v>2193</v>
      </c>
      <c r="I75" s="41" t="s">
        <v>1650</v>
      </c>
      <c r="J75" s="41" t="s">
        <v>1877</v>
      </c>
      <c r="L75" s="41">
        <v>1900</v>
      </c>
      <c r="M75" s="59">
        <v>0.58333333333333337</v>
      </c>
      <c r="N75" s="41">
        <v>115</v>
      </c>
      <c r="O75" s="76">
        <f t="shared" si="1"/>
        <v>105.51666666666668</v>
      </c>
      <c r="Q75" s="43" t="s">
        <v>2367</v>
      </c>
    </row>
    <row r="76" spans="1:17" ht="41.4" x14ac:dyDescent="0.25">
      <c r="A76" s="41">
        <v>1</v>
      </c>
      <c r="B76" s="41">
        <v>1246</v>
      </c>
      <c r="C76" s="250">
        <v>45169</v>
      </c>
      <c r="D76" s="41" t="s">
        <v>2256</v>
      </c>
      <c r="E76" s="41" t="s">
        <v>532</v>
      </c>
      <c r="F76" s="41" t="s">
        <v>2050</v>
      </c>
      <c r="G76" s="41" t="s">
        <v>2193</v>
      </c>
      <c r="I76" s="41" t="s">
        <v>1650</v>
      </c>
      <c r="J76" s="41" t="s">
        <v>1182</v>
      </c>
      <c r="L76" s="41">
        <v>1600</v>
      </c>
      <c r="M76" s="59">
        <v>0.52083333333333337</v>
      </c>
      <c r="N76" s="41">
        <v>185</v>
      </c>
      <c r="O76" s="76">
        <f t="shared" si="1"/>
        <v>108.60000000000001</v>
      </c>
      <c r="Q76" s="43" t="s">
        <v>2370</v>
      </c>
    </row>
    <row r="77" spans="1:17" x14ac:dyDescent="0.25">
      <c r="A77" s="41">
        <v>1</v>
      </c>
      <c r="B77" s="41">
        <v>1247</v>
      </c>
      <c r="C77" s="250">
        <v>45170</v>
      </c>
      <c r="D77" s="41" t="s">
        <v>2256</v>
      </c>
      <c r="E77" s="41" t="s">
        <v>532</v>
      </c>
      <c r="F77" s="41" t="s">
        <v>1836</v>
      </c>
      <c r="G77" s="41" t="s">
        <v>1830</v>
      </c>
      <c r="H77" s="41">
        <v>500</v>
      </c>
      <c r="I77" s="41" t="s">
        <v>1650</v>
      </c>
      <c r="J77" s="41" t="s">
        <v>1877</v>
      </c>
      <c r="L77" s="41">
        <v>1624</v>
      </c>
      <c r="M77" s="59">
        <v>0.53125</v>
      </c>
      <c r="N77" s="41">
        <v>30</v>
      </c>
      <c r="O77" s="76">
        <f t="shared" si="1"/>
        <v>109.10000000000001</v>
      </c>
      <c r="Q77" s="43" t="s">
        <v>2371</v>
      </c>
    </row>
    <row r="78" spans="1:17" ht="21" x14ac:dyDescent="0.25">
      <c r="A78" s="41">
        <v>1</v>
      </c>
      <c r="B78" s="41">
        <v>1248</v>
      </c>
      <c r="C78" s="250">
        <v>45175</v>
      </c>
      <c r="D78" s="41" t="s">
        <v>2256</v>
      </c>
      <c r="E78" s="41" t="s">
        <v>532</v>
      </c>
      <c r="F78" s="41" t="s">
        <v>2050</v>
      </c>
      <c r="G78" s="41" t="s">
        <v>1830</v>
      </c>
      <c r="H78" s="41">
        <v>700</v>
      </c>
      <c r="I78" s="41" t="s">
        <v>1650</v>
      </c>
      <c r="J78" s="41" t="s">
        <v>1182</v>
      </c>
      <c r="L78" s="41">
        <v>1664</v>
      </c>
      <c r="M78" s="59">
        <v>0.58194444444444449</v>
      </c>
      <c r="N78" s="41">
        <v>146</v>
      </c>
      <c r="O78" s="76">
        <f t="shared" si="1"/>
        <v>111.53333333333335</v>
      </c>
      <c r="Q78" s="43" t="s">
        <v>2404</v>
      </c>
    </row>
    <row r="79" spans="1:17" ht="21" x14ac:dyDescent="0.25">
      <c r="A79" s="41">
        <v>1</v>
      </c>
      <c r="B79" s="41">
        <v>1249</v>
      </c>
      <c r="C79" s="250">
        <v>45176</v>
      </c>
      <c r="D79" s="41" t="s">
        <v>2256</v>
      </c>
      <c r="E79" s="41" t="s">
        <v>532</v>
      </c>
      <c r="F79" s="41" t="s">
        <v>2050</v>
      </c>
      <c r="G79" s="41" t="s">
        <v>1830</v>
      </c>
      <c r="H79" s="41">
        <v>700</v>
      </c>
      <c r="I79" s="41" t="s">
        <v>1650</v>
      </c>
      <c r="J79" s="41" t="s">
        <v>1182</v>
      </c>
      <c r="L79" s="41">
        <v>1711</v>
      </c>
      <c r="M79" s="59">
        <v>0.53749999999999998</v>
      </c>
      <c r="N79" s="41">
        <v>66</v>
      </c>
      <c r="O79" s="76">
        <f t="shared" si="1"/>
        <v>112.63333333333334</v>
      </c>
      <c r="Q79" s="43" t="s">
        <v>2405</v>
      </c>
    </row>
    <row r="80" spans="1:17" ht="41.4" x14ac:dyDescent="0.25">
      <c r="A80" s="41">
        <v>1</v>
      </c>
      <c r="B80" s="41">
        <v>1250</v>
      </c>
      <c r="C80" s="250">
        <v>45177</v>
      </c>
      <c r="D80" s="41" t="s">
        <v>2256</v>
      </c>
      <c r="E80" s="41" t="s">
        <v>532</v>
      </c>
      <c r="F80" s="41" t="s">
        <v>2050</v>
      </c>
      <c r="G80" s="41" t="s">
        <v>2193</v>
      </c>
      <c r="I80" s="41" t="s">
        <v>2406</v>
      </c>
      <c r="J80" s="41" t="s">
        <v>1182</v>
      </c>
      <c r="L80" s="41">
        <v>1830</v>
      </c>
      <c r="M80" s="59">
        <v>0.53611111111111109</v>
      </c>
      <c r="N80" s="41">
        <v>186</v>
      </c>
      <c r="O80" s="76">
        <f t="shared" si="1"/>
        <v>115.73333333333333</v>
      </c>
      <c r="Q80" s="43" t="s">
        <v>2407</v>
      </c>
    </row>
    <row r="81" spans="1:17" x14ac:dyDescent="0.25">
      <c r="A81" s="41">
        <v>7</v>
      </c>
      <c r="B81" s="41">
        <v>1257</v>
      </c>
      <c r="C81" s="250">
        <v>45178</v>
      </c>
      <c r="D81" s="41" t="s">
        <v>2154</v>
      </c>
      <c r="E81" s="41" t="s">
        <v>532</v>
      </c>
      <c r="F81" s="41" t="s">
        <v>2050</v>
      </c>
      <c r="G81" s="41" t="s">
        <v>2193</v>
      </c>
      <c r="I81" s="41" t="s">
        <v>1650</v>
      </c>
      <c r="J81" s="41" t="s">
        <v>1877</v>
      </c>
      <c r="M81" s="59"/>
      <c r="N81" s="41">
        <v>128</v>
      </c>
      <c r="O81" s="76">
        <f t="shared" si="1"/>
        <v>117.86666666666667</v>
      </c>
      <c r="Q81" s="43" t="s">
        <v>2408</v>
      </c>
    </row>
    <row r="82" spans="1:17" ht="48" customHeight="1" x14ac:dyDescent="0.25">
      <c r="A82" s="41">
        <v>6</v>
      </c>
      <c r="B82" s="41">
        <v>1263</v>
      </c>
      <c r="C82" s="250">
        <v>45179</v>
      </c>
      <c r="D82" s="41" t="s">
        <v>2154</v>
      </c>
      <c r="E82" s="41" t="s">
        <v>532</v>
      </c>
      <c r="F82" s="41" t="s">
        <v>2050</v>
      </c>
      <c r="G82" s="41" t="s">
        <v>2193</v>
      </c>
      <c r="I82" s="41" t="s">
        <v>1650</v>
      </c>
      <c r="J82" s="41" t="s">
        <v>1877</v>
      </c>
      <c r="M82" s="59"/>
      <c r="N82" s="41">
        <v>133</v>
      </c>
      <c r="O82" s="76">
        <f t="shared" si="1"/>
        <v>120.08333333333334</v>
      </c>
      <c r="Q82" s="43" t="s">
        <v>2409</v>
      </c>
    </row>
    <row r="83" spans="1:17" x14ac:dyDescent="0.25">
      <c r="A83" s="41">
        <v>1</v>
      </c>
      <c r="B83" s="41">
        <v>1264</v>
      </c>
      <c r="C83" s="250">
        <v>45183</v>
      </c>
      <c r="D83" s="41" t="s">
        <v>2256</v>
      </c>
      <c r="E83" s="41" t="s">
        <v>532</v>
      </c>
      <c r="F83" s="41" t="s">
        <v>2050</v>
      </c>
      <c r="G83" s="41" t="s">
        <v>2193</v>
      </c>
      <c r="I83" s="41" t="s">
        <v>1650</v>
      </c>
      <c r="J83" s="41" t="s">
        <v>1877</v>
      </c>
      <c r="M83" s="59">
        <v>0.55069444444444449</v>
      </c>
      <c r="N83" s="41">
        <v>51</v>
      </c>
      <c r="O83" s="76">
        <f t="shared" si="1"/>
        <v>120.93333333333334</v>
      </c>
    </row>
    <row r="84" spans="1:17" x14ac:dyDescent="0.25">
      <c r="A84" s="41">
        <v>1</v>
      </c>
      <c r="B84" s="41">
        <v>1265</v>
      </c>
      <c r="C84" s="250">
        <v>45184</v>
      </c>
      <c r="D84" s="41" t="s">
        <v>2256</v>
      </c>
      <c r="E84" s="41" t="s">
        <v>532</v>
      </c>
      <c r="F84" s="41" t="s">
        <v>2050</v>
      </c>
      <c r="G84" s="41" t="s">
        <v>2193</v>
      </c>
      <c r="I84" s="41" t="s">
        <v>1650</v>
      </c>
      <c r="J84" s="41" t="s">
        <v>1877</v>
      </c>
      <c r="M84" s="59">
        <v>0.54305555555555551</v>
      </c>
      <c r="N84" s="41">
        <v>34</v>
      </c>
      <c r="O84" s="76">
        <f t="shared" si="1"/>
        <v>121.5</v>
      </c>
    </row>
    <row r="85" spans="1:17" x14ac:dyDescent="0.25">
      <c r="A85" s="41">
        <v>1</v>
      </c>
      <c r="B85" s="41">
        <v>1266</v>
      </c>
      <c r="C85" s="250">
        <v>45185</v>
      </c>
      <c r="D85" s="41" t="s">
        <v>2154</v>
      </c>
      <c r="E85" s="41" t="s">
        <v>532</v>
      </c>
      <c r="F85" s="41" t="s">
        <v>2050</v>
      </c>
      <c r="G85" s="41" t="s">
        <v>2193</v>
      </c>
      <c r="I85" s="41" t="s">
        <v>1650</v>
      </c>
      <c r="J85" s="41" t="s">
        <v>1877</v>
      </c>
      <c r="M85" s="59">
        <v>0.53055555555555556</v>
      </c>
      <c r="N85" s="41">
        <v>15</v>
      </c>
      <c r="O85" s="76">
        <f t="shared" si="1"/>
        <v>121.75</v>
      </c>
      <c r="Q85" s="43" t="s">
        <v>2410</v>
      </c>
    </row>
    <row r="86" spans="1:17" x14ac:dyDescent="0.25">
      <c r="A86" s="41">
        <v>1</v>
      </c>
      <c r="B86" s="41">
        <v>1267</v>
      </c>
      <c r="C86" s="250">
        <v>45185</v>
      </c>
      <c r="D86" s="41" t="s">
        <v>2256</v>
      </c>
      <c r="E86" s="41" t="s">
        <v>532</v>
      </c>
      <c r="F86" s="41" t="s">
        <v>2050</v>
      </c>
      <c r="G86" s="41" t="s">
        <v>2193</v>
      </c>
      <c r="I86" s="41" t="s">
        <v>1650</v>
      </c>
      <c r="J86" s="41" t="s">
        <v>1877</v>
      </c>
      <c r="M86" s="59">
        <v>0.57361111111111118</v>
      </c>
      <c r="N86" s="41">
        <v>124</v>
      </c>
      <c r="O86" s="76">
        <f t="shared" si="1"/>
        <v>123.81666666666666</v>
      </c>
    </row>
    <row r="87" spans="1:17" x14ac:dyDescent="0.25">
      <c r="A87" s="41">
        <v>1</v>
      </c>
      <c r="B87" s="41">
        <v>1268</v>
      </c>
      <c r="C87" s="250">
        <v>45186</v>
      </c>
      <c r="D87" s="41" t="s">
        <v>2256</v>
      </c>
      <c r="E87" s="41" t="s">
        <v>532</v>
      </c>
      <c r="F87" s="41" t="s">
        <v>2050</v>
      </c>
      <c r="G87" s="41" t="s">
        <v>2193</v>
      </c>
      <c r="I87" s="41" t="s">
        <v>1650</v>
      </c>
      <c r="J87" s="41" t="s">
        <v>1877</v>
      </c>
      <c r="M87" s="59">
        <v>0.52430555555555558</v>
      </c>
      <c r="N87" s="41">
        <v>20</v>
      </c>
      <c r="O87" s="76">
        <f t="shared" si="1"/>
        <v>124.14999999999999</v>
      </c>
      <c r="Q87" s="43" t="s">
        <v>2411</v>
      </c>
    </row>
    <row r="88" spans="1:17" ht="21" x14ac:dyDescent="0.25">
      <c r="A88" s="41">
        <v>1</v>
      </c>
      <c r="B88" s="41">
        <v>1269</v>
      </c>
      <c r="C88" s="250">
        <v>45187</v>
      </c>
      <c r="D88" s="41" t="s">
        <v>2256</v>
      </c>
      <c r="E88" s="41" t="s">
        <v>532</v>
      </c>
      <c r="F88" s="41" t="s">
        <v>2050</v>
      </c>
      <c r="G88" s="41" t="s">
        <v>2193</v>
      </c>
      <c r="I88" s="41" t="s">
        <v>1650</v>
      </c>
      <c r="J88" s="41" t="s">
        <v>1182</v>
      </c>
      <c r="L88" s="41">
        <v>1780</v>
      </c>
      <c r="M88" s="59">
        <v>0.5229166666666667</v>
      </c>
      <c r="N88" s="41">
        <v>115</v>
      </c>
      <c r="O88" s="76">
        <f t="shared" si="1"/>
        <v>126.06666666666666</v>
      </c>
      <c r="P88" s="41">
        <v>24</v>
      </c>
      <c r="Q88" s="43" t="s">
        <v>2412</v>
      </c>
    </row>
    <row r="89" spans="1:17" ht="21" x14ac:dyDescent="0.25">
      <c r="A89" s="41">
        <v>1</v>
      </c>
      <c r="B89" s="41">
        <v>1270</v>
      </c>
      <c r="C89" s="250">
        <v>45188</v>
      </c>
      <c r="D89" s="41" t="s">
        <v>2256</v>
      </c>
      <c r="E89" s="41" t="s">
        <v>532</v>
      </c>
      <c r="F89" s="41" t="s">
        <v>2050</v>
      </c>
      <c r="G89" s="41" t="s">
        <v>1830</v>
      </c>
      <c r="H89" s="41">
        <v>700</v>
      </c>
      <c r="I89" s="41" t="s">
        <v>1650</v>
      </c>
      <c r="J89" s="41" t="s">
        <v>1182</v>
      </c>
      <c r="L89" s="41">
        <v>15</v>
      </c>
      <c r="M89" s="59">
        <v>0.52430555555555558</v>
      </c>
      <c r="N89" s="41">
        <v>70</v>
      </c>
      <c r="O89" s="76">
        <f t="shared" si="1"/>
        <v>127.23333333333333</v>
      </c>
      <c r="P89" s="41">
        <v>20</v>
      </c>
      <c r="Q89" s="43" t="s">
        <v>2413</v>
      </c>
    </row>
    <row r="90" spans="1:17" x14ac:dyDescent="0.25">
      <c r="A90" s="41">
        <v>1</v>
      </c>
      <c r="B90" s="41">
        <v>1271</v>
      </c>
      <c r="C90" s="250">
        <v>45195</v>
      </c>
      <c r="D90" s="41" t="s">
        <v>2256</v>
      </c>
      <c r="E90" s="41" t="s">
        <v>532</v>
      </c>
      <c r="F90" s="41" t="s">
        <v>2050</v>
      </c>
      <c r="G90" s="41"/>
      <c r="I90" s="41" t="s">
        <v>1650</v>
      </c>
      <c r="J90" s="41"/>
      <c r="M90" s="59"/>
      <c r="N90" s="41">
        <v>19</v>
      </c>
      <c r="O90" s="76">
        <f t="shared" si="1"/>
        <v>127.55</v>
      </c>
    </row>
    <row r="91" spans="1:17" x14ac:dyDescent="0.25">
      <c r="A91" s="41">
        <v>1</v>
      </c>
      <c r="B91" s="41">
        <v>1272</v>
      </c>
      <c r="C91" s="250">
        <v>45197</v>
      </c>
      <c r="D91" s="41" t="s">
        <v>2256</v>
      </c>
      <c r="E91" s="41" t="s">
        <v>532</v>
      </c>
      <c r="F91" s="41" t="s">
        <v>1550</v>
      </c>
      <c r="G91" s="41"/>
      <c r="I91" s="41" t="s">
        <v>2248</v>
      </c>
      <c r="J91" s="41" t="s">
        <v>1182</v>
      </c>
      <c r="L91" s="41">
        <v>2865</v>
      </c>
      <c r="M91" s="59">
        <v>0.52430555555555558</v>
      </c>
      <c r="N91" s="41">
        <v>136</v>
      </c>
      <c r="O91" s="76">
        <f t="shared" si="1"/>
        <v>129.81666666666666</v>
      </c>
      <c r="P91" s="41">
        <v>30</v>
      </c>
      <c r="Q91" s="43" t="s">
        <v>2415</v>
      </c>
    </row>
    <row r="92" spans="1:17" x14ac:dyDescent="0.25">
      <c r="A92" s="41">
        <v>1</v>
      </c>
      <c r="B92" s="41">
        <v>1273</v>
      </c>
      <c r="C92" s="250">
        <v>45199</v>
      </c>
      <c r="D92" s="41" t="s">
        <v>2256</v>
      </c>
      <c r="E92" s="41" t="s">
        <v>532</v>
      </c>
      <c r="F92" s="41" t="s">
        <v>2050</v>
      </c>
      <c r="G92" s="41" t="s">
        <v>1830</v>
      </c>
      <c r="H92" s="41">
        <v>700</v>
      </c>
      <c r="I92" s="41" t="s">
        <v>1650</v>
      </c>
      <c r="J92" s="41" t="s">
        <v>239</v>
      </c>
      <c r="M92" s="59"/>
      <c r="N92" s="41">
        <v>144</v>
      </c>
      <c r="O92" s="76">
        <f t="shared" si="1"/>
        <v>132.21666666666667</v>
      </c>
      <c r="Q92" s="43" t="s">
        <v>2416</v>
      </c>
    </row>
    <row r="93" spans="1:17" ht="51.6" x14ac:dyDescent="0.25">
      <c r="A93" s="41">
        <v>1</v>
      </c>
      <c r="B93" s="41">
        <v>1274</v>
      </c>
      <c r="C93" s="250">
        <v>45201</v>
      </c>
      <c r="D93" s="41" t="s">
        <v>2256</v>
      </c>
      <c r="E93" s="41" t="s">
        <v>532</v>
      </c>
      <c r="F93" s="41" t="s">
        <v>1550</v>
      </c>
      <c r="G93" s="41"/>
      <c r="I93" s="41" t="s">
        <v>2248</v>
      </c>
      <c r="J93" s="41" t="s">
        <v>1182</v>
      </c>
      <c r="L93" s="41">
        <v>3715</v>
      </c>
      <c r="M93" s="59">
        <v>0.52083333333333337</v>
      </c>
      <c r="N93" s="41">
        <v>255</v>
      </c>
      <c r="O93" s="76">
        <f t="shared" si="1"/>
        <v>136.46666666666667</v>
      </c>
      <c r="P93" s="41">
        <v>70</v>
      </c>
      <c r="Q93" s="43" t="s">
        <v>2417</v>
      </c>
    </row>
    <row r="94" spans="1:17" ht="31.2" x14ac:dyDescent="0.25">
      <c r="A94" s="41">
        <v>1</v>
      </c>
      <c r="B94" s="41">
        <v>1275</v>
      </c>
      <c r="C94" s="250">
        <v>45204</v>
      </c>
      <c r="D94" s="41" t="s">
        <v>2284</v>
      </c>
      <c r="E94" s="41" t="s">
        <v>532</v>
      </c>
      <c r="F94" s="41" t="s">
        <v>2050</v>
      </c>
      <c r="G94" s="41" t="s">
        <v>1830</v>
      </c>
      <c r="H94" s="41">
        <v>700</v>
      </c>
      <c r="I94" s="41" t="s">
        <v>1650</v>
      </c>
      <c r="J94" s="41" t="s">
        <v>1182</v>
      </c>
      <c r="L94" s="41">
        <v>1580</v>
      </c>
      <c r="M94" s="59">
        <v>0.56597222222222221</v>
      </c>
      <c r="N94" s="41">
        <v>145</v>
      </c>
      <c r="O94" s="76">
        <f t="shared" si="1"/>
        <v>138.88333333333333</v>
      </c>
      <c r="P94" s="41">
        <v>20</v>
      </c>
      <c r="Q94" s="43" t="s">
        <v>2418</v>
      </c>
    </row>
    <row r="95" spans="1:17" x14ac:dyDescent="0.25">
      <c r="A95" s="41">
        <v>1</v>
      </c>
      <c r="B95" s="41">
        <v>1276</v>
      </c>
      <c r="C95" s="250">
        <v>45205</v>
      </c>
      <c r="D95" s="41" t="s">
        <v>2284</v>
      </c>
      <c r="E95" s="41" t="s">
        <v>532</v>
      </c>
      <c r="F95" s="41" t="s">
        <v>2050</v>
      </c>
      <c r="G95" s="41"/>
      <c r="I95" s="41" t="s">
        <v>1650</v>
      </c>
      <c r="J95" s="41" t="s">
        <v>1877</v>
      </c>
      <c r="M95" s="59">
        <v>0.53055555555555556</v>
      </c>
      <c r="N95" s="41">
        <v>113</v>
      </c>
      <c r="O95" s="76">
        <f t="shared" si="1"/>
        <v>140.76666666666665</v>
      </c>
    </row>
    <row r="96" spans="1:17" x14ac:dyDescent="0.25">
      <c r="A96" s="41">
        <v>1</v>
      </c>
      <c r="B96" s="41">
        <v>1277</v>
      </c>
      <c r="C96" s="250">
        <v>45206</v>
      </c>
      <c r="D96" s="41" t="s">
        <v>2284</v>
      </c>
      <c r="E96" s="41" t="s">
        <v>532</v>
      </c>
      <c r="F96" s="41" t="s">
        <v>1836</v>
      </c>
      <c r="G96" s="41" t="s">
        <v>1830</v>
      </c>
      <c r="H96" s="41">
        <v>400</v>
      </c>
      <c r="I96" s="41" t="s">
        <v>1650</v>
      </c>
      <c r="J96" s="41" t="s">
        <v>1877</v>
      </c>
      <c r="M96" s="59">
        <v>0.57638888888888895</v>
      </c>
      <c r="N96" s="41">
        <v>79</v>
      </c>
      <c r="O96" s="76">
        <f t="shared" si="1"/>
        <v>142.08333333333331</v>
      </c>
    </row>
    <row r="97" spans="1:17" x14ac:dyDescent="0.25">
      <c r="A97" s="41">
        <v>1</v>
      </c>
      <c r="B97" s="41">
        <v>1278</v>
      </c>
      <c r="C97" s="250">
        <v>45207</v>
      </c>
      <c r="D97" s="41" t="s">
        <v>2284</v>
      </c>
      <c r="E97" s="41" t="s">
        <v>532</v>
      </c>
      <c r="F97" s="41" t="s">
        <v>2364</v>
      </c>
      <c r="G97" s="41" t="s">
        <v>1830</v>
      </c>
      <c r="H97" s="41">
        <v>200</v>
      </c>
      <c r="I97" s="41" t="s">
        <v>1650</v>
      </c>
      <c r="J97" s="41" t="s">
        <v>1877</v>
      </c>
      <c r="M97" s="59">
        <v>0.6</v>
      </c>
      <c r="N97" s="41">
        <v>70</v>
      </c>
      <c r="O97" s="76">
        <f t="shared" si="1"/>
        <v>143.24999999999997</v>
      </c>
    </row>
    <row r="98" spans="1:17" x14ac:dyDescent="0.25">
      <c r="A98" s="41">
        <v>1</v>
      </c>
      <c r="B98" s="41">
        <v>1279</v>
      </c>
      <c r="C98" s="250">
        <v>45209</v>
      </c>
      <c r="D98" s="41" t="s">
        <v>2284</v>
      </c>
      <c r="E98" s="41" t="s">
        <v>532</v>
      </c>
      <c r="F98" s="41" t="s">
        <v>2050</v>
      </c>
      <c r="G98" s="41" t="s">
        <v>2193</v>
      </c>
      <c r="I98" s="41" t="s">
        <v>1650</v>
      </c>
      <c r="J98" s="41" t="s">
        <v>1182</v>
      </c>
      <c r="L98" s="41">
        <v>1873</v>
      </c>
      <c r="M98" s="59">
        <v>0.5395833333333333</v>
      </c>
      <c r="N98" s="41">
        <v>183</v>
      </c>
      <c r="O98" s="76">
        <f t="shared" si="1"/>
        <v>146.29999999999998</v>
      </c>
      <c r="P98" s="41">
        <v>25</v>
      </c>
    </row>
    <row r="99" spans="1:17" x14ac:dyDescent="0.25">
      <c r="A99" s="41">
        <v>1</v>
      </c>
      <c r="B99" s="41">
        <v>1280</v>
      </c>
      <c r="C99" s="250">
        <v>45210</v>
      </c>
      <c r="D99" s="41" t="s">
        <v>2284</v>
      </c>
      <c r="E99" s="41" t="s">
        <v>532</v>
      </c>
      <c r="F99" s="41" t="s">
        <v>2050</v>
      </c>
      <c r="G99" s="41" t="s">
        <v>2193</v>
      </c>
      <c r="I99" s="41" t="s">
        <v>1650</v>
      </c>
      <c r="J99" s="41" t="s">
        <v>1877</v>
      </c>
      <c r="M99" s="59">
        <v>0.53819444444444442</v>
      </c>
      <c r="N99" s="41">
        <v>107</v>
      </c>
      <c r="O99" s="76">
        <f t="shared" si="1"/>
        <v>148.08333333333331</v>
      </c>
    </row>
    <row r="100" spans="1:17" x14ac:dyDescent="0.25">
      <c r="A100" s="41">
        <v>1</v>
      </c>
      <c r="B100" s="41">
        <v>1281</v>
      </c>
      <c r="C100" s="250">
        <v>45214</v>
      </c>
      <c r="D100" s="41" t="s">
        <v>2284</v>
      </c>
      <c r="E100" s="41" t="s">
        <v>2419</v>
      </c>
      <c r="F100" s="41" t="s">
        <v>2420</v>
      </c>
      <c r="G100" s="41" t="s">
        <v>2193</v>
      </c>
      <c r="I100" s="41" t="s">
        <v>2420</v>
      </c>
      <c r="J100" s="41" t="s">
        <v>1877</v>
      </c>
      <c r="M100" s="59">
        <v>0.54722222222222217</v>
      </c>
      <c r="N100" s="41">
        <v>31</v>
      </c>
      <c r="O100" s="76">
        <f t="shared" si="1"/>
        <v>148.6</v>
      </c>
    </row>
    <row r="101" spans="1:17" x14ac:dyDescent="0.25">
      <c r="A101" s="41">
        <v>1</v>
      </c>
      <c r="B101" s="41">
        <v>1282</v>
      </c>
      <c r="C101" s="250">
        <v>45215</v>
      </c>
      <c r="D101" s="41" t="s">
        <v>2284</v>
      </c>
      <c r="E101" s="41" t="s">
        <v>2419</v>
      </c>
      <c r="F101" s="41" t="s">
        <v>2420</v>
      </c>
      <c r="G101" s="41" t="s">
        <v>2193</v>
      </c>
      <c r="I101" s="41" t="s">
        <v>2420</v>
      </c>
      <c r="J101" s="41" t="s">
        <v>1877</v>
      </c>
      <c r="M101" s="59">
        <v>0.52222222222222225</v>
      </c>
      <c r="N101" s="41">
        <v>22</v>
      </c>
      <c r="O101" s="76">
        <f t="shared" si="1"/>
        <v>148.96666666666667</v>
      </c>
    </row>
    <row r="102" spans="1:17" ht="61.8" x14ac:dyDescent="0.25">
      <c r="A102" s="41">
        <v>1</v>
      </c>
      <c r="B102" s="41">
        <v>1283</v>
      </c>
      <c r="C102" s="250">
        <v>45238</v>
      </c>
      <c r="D102" s="41" t="s">
        <v>2284</v>
      </c>
      <c r="E102" s="41" t="s">
        <v>532</v>
      </c>
      <c r="F102" s="41" t="s">
        <v>1836</v>
      </c>
      <c r="G102" s="41" t="s">
        <v>1830</v>
      </c>
      <c r="H102" s="41">
        <v>1100</v>
      </c>
      <c r="I102" s="41" t="s">
        <v>1650</v>
      </c>
      <c r="J102" s="41" t="s">
        <v>1877</v>
      </c>
      <c r="M102" s="59">
        <v>0.54166666666666663</v>
      </c>
      <c r="N102" s="41">
        <v>71</v>
      </c>
      <c r="O102" s="76">
        <f t="shared" si="1"/>
        <v>150.15</v>
      </c>
      <c r="Q102" s="43" t="s">
        <v>2421</v>
      </c>
    </row>
    <row r="103" spans="1:17" x14ac:dyDescent="0.25">
      <c r="A103" s="41">
        <v>1</v>
      </c>
      <c r="B103" s="41">
        <v>1284</v>
      </c>
      <c r="C103" s="250">
        <v>45243</v>
      </c>
      <c r="D103" s="41" t="s">
        <v>2284</v>
      </c>
      <c r="E103" s="41" t="s">
        <v>532</v>
      </c>
      <c r="F103" s="41" t="s">
        <v>2050</v>
      </c>
      <c r="G103" s="41" t="s">
        <v>1830</v>
      </c>
      <c r="H103" s="41">
        <v>700</v>
      </c>
      <c r="I103" s="41" t="s">
        <v>1650</v>
      </c>
      <c r="J103" s="41" t="s">
        <v>1877</v>
      </c>
      <c r="M103" s="59">
        <v>0.55486111111111114</v>
      </c>
      <c r="N103" s="41">
        <v>10</v>
      </c>
      <c r="O103" s="76">
        <f t="shared" si="1"/>
        <v>150.31666666666666</v>
      </c>
    </row>
    <row r="104" spans="1:17" x14ac:dyDescent="0.25">
      <c r="A104" s="41">
        <v>1</v>
      </c>
      <c r="B104" s="41">
        <v>1285</v>
      </c>
      <c r="C104" s="250">
        <v>45248</v>
      </c>
      <c r="D104" s="41" t="s">
        <v>2284</v>
      </c>
      <c r="E104" s="41" t="s">
        <v>532</v>
      </c>
      <c r="F104" s="41" t="s">
        <v>1836</v>
      </c>
      <c r="G104" s="41" t="s">
        <v>2193</v>
      </c>
      <c r="I104" s="41" t="s">
        <v>1650</v>
      </c>
      <c r="J104" s="41" t="s">
        <v>1877</v>
      </c>
      <c r="M104" s="59">
        <v>0.54166666666666663</v>
      </c>
      <c r="N104" s="41">
        <v>9</v>
      </c>
      <c r="O104" s="76">
        <f t="shared" si="1"/>
        <v>150.46666666666667</v>
      </c>
    </row>
    <row r="105" spans="1:17" ht="61.8" x14ac:dyDescent="0.25">
      <c r="A105" s="41">
        <v>1</v>
      </c>
      <c r="B105" s="41">
        <v>1286</v>
      </c>
      <c r="C105" s="250">
        <v>45249</v>
      </c>
      <c r="D105" s="41" t="s">
        <v>2284</v>
      </c>
      <c r="E105" s="41" t="s">
        <v>532</v>
      </c>
      <c r="F105" s="41" t="s">
        <v>1836</v>
      </c>
      <c r="G105" s="41" t="s">
        <v>1830</v>
      </c>
      <c r="H105" s="41">
        <v>400</v>
      </c>
      <c r="I105" s="41" t="s">
        <v>1650</v>
      </c>
      <c r="J105" s="41" t="s">
        <v>1877</v>
      </c>
      <c r="M105" s="59">
        <v>0.53680555555555554</v>
      </c>
      <c r="N105" s="41">
        <v>75</v>
      </c>
      <c r="O105" s="76">
        <f t="shared" si="1"/>
        <v>151.71666666666667</v>
      </c>
      <c r="Q105" s="43" t="s">
        <v>2422</v>
      </c>
    </row>
    <row r="106" spans="1:17" x14ac:dyDescent="0.25">
      <c r="A106" s="41">
        <v>1</v>
      </c>
      <c r="B106" s="41">
        <v>1287</v>
      </c>
      <c r="C106" s="250">
        <v>45283</v>
      </c>
      <c r="D106" s="41" t="s">
        <v>2284</v>
      </c>
      <c r="E106" s="41" t="s">
        <v>532</v>
      </c>
      <c r="F106" s="41" t="s">
        <v>423</v>
      </c>
      <c r="G106" s="41" t="s">
        <v>1830</v>
      </c>
      <c r="H106" s="41">
        <v>200</v>
      </c>
      <c r="I106" s="41" t="s">
        <v>1650</v>
      </c>
      <c r="J106" s="41" t="s">
        <v>1877</v>
      </c>
      <c r="M106" s="59"/>
      <c r="N106" s="41">
        <v>2</v>
      </c>
      <c r="O106" s="76">
        <f t="shared" si="1"/>
        <v>151.75</v>
      </c>
      <c r="Q106" s="43" t="s">
        <v>2423</v>
      </c>
    </row>
    <row r="107" spans="1:17" x14ac:dyDescent="0.25">
      <c r="A107" s="41">
        <v>1</v>
      </c>
      <c r="B107" s="41">
        <v>1288</v>
      </c>
      <c r="C107" s="250">
        <v>45284</v>
      </c>
      <c r="D107" s="41" t="s">
        <v>2284</v>
      </c>
      <c r="E107" s="41" t="s">
        <v>532</v>
      </c>
      <c r="F107" s="41" t="s">
        <v>1836</v>
      </c>
      <c r="G107" s="41" t="s">
        <v>1830</v>
      </c>
      <c r="H107" s="41">
        <v>400</v>
      </c>
      <c r="I107" s="41" t="s">
        <v>1650</v>
      </c>
      <c r="J107" s="41" t="s">
        <v>1877</v>
      </c>
      <c r="M107" s="59"/>
      <c r="N107" s="41">
        <v>33</v>
      </c>
      <c r="O107" s="76">
        <f t="shared" si="1"/>
        <v>152.30000000000001</v>
      </c>
    </row>
    <row r="108" spans="1:17" x14ac:dyDescent="0.25">
      <c r="A108" s="41">
        <v>1</v>
      </c>
      <c r="B108" s="41">
        <v>1289</v>
      </c>
      <c r="C108" s="250">
        <v>45285</v>
      </c>
      <c r="D108" s="41" t="s">
        <v>2284</v>
      </c>
      <c r="E108" s="41" t="s">
        <v>532</v>
      </c>
      <c r="F108" s="41" t="s">
        <v>1836</v>
      </c>
      <c r="G108" s="41" t="s">
        <v>1830</v>
      </c>
      <c r="H108" s="41">
        <v>400</v>
      </c>
      <c r="I108" s="41" t="s">
        <v>1650</v>
      </c>
      <c r="J108" s="41" t="s">
        <v>1877</v>
      </c>
      <c r="M108" s="59">
        <v>0.53263888888888888</v>
      </c>
      <c r="N108" s="41">
        <v>26</v>
      </c>
      <c r="O108" s="76">
        <f t="shared" si="1"/>
        <v>152.73333333333335</v>
      </c>
    </row>
    <row r="109" spans="1:17" x14ac:dyDescent="0.25">
      <c r="A109" s="41">
        <v>1</v>
      </c>
      <c r="B109" s="41">
        <v>1290</v>
      </c>
      <c r="C109" s="250">
        <v>45287</v>
      </c>
      <c r="D109" s="41" t="s">
        <v>2284</v>
      </c>
      <c r="E109" s="41" t="s">
        <v>532</v>
      </c>
      <c r="F109" s="41" t="s">
        <v>2050</v>
      </c>
      <c r="G109" s="41" t="s">
        <v>1830</v>
      </c>
      <c r="H109" s="41">
        <v>700</v>
      </c>
      <c r="I109" s="41" t="s">
        <v>1650</v>
      </c>
      <c r="J109" s="41" t="s">
        <v>1877</v>
      </c>
      <c r="M109" s="59">
        <v>0.5541666666666667</v>
      </c>
      <c r="N109" s="41">
        <v>10</v>
      </c>
      <c r="O109" s="76">
        <f t="shared" si="1"/>
        <v>152.9</v>
      </c>
    </row>
    <row r="110" spans="1:17" ht="31.2" x14ac:dyDescent="0.25">
      <c r="A110" s="41">
        <v>1</v>
      </c>
      <c r="B110" s="41">
        <v>1291</v>
      </c>
      <c r="C110" s="250">
        <v>45290</v>
      </c>
      <c r="D110" s="41" t="s">
        <v>2284</v>
      </c>
      <c r="E110" s="41" t="s">
        <v>532</v>
      </c>
      <c r="F110" s="41" t="s">
        <v>1836</v>
      </c>
      <c r="G110" s="41" t="s">
        <v>1830</v>
      </c>
      <c r="H110" s="41">
        <v>400</v>
      </c>
      <c r="I110" s="41" t="s">
        <v>1650</v>
      </c>
      <c r="J110" s="41" t="s">
        <v>1877</v>
      </c>
      <c r="L110" s="41">
        <v>2049</v>
      </c>
      <c r="M110" s="59">
        <v>0.53680555555555554</v>
      </c>
      <c r="N110" s="41">
        <v>56</v>
      </c>
      <c r="O110" s="76">
        <f t="shared" si="1"/>
        <v>153.83333333333334</v>
      </c>
      <c r="Q110" s="43" t="s">
        <v>2424</v>
      </c>
    </row>
  </sheetData>
  <autoFilter ref="A1:Q110"/>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67"/>
  <sheetViews>
    <sheetView zoomScaleNormal="100" workbookViewId="0">
      <pane ySplit="1" topLeftCell="A2" activePane="bottomLeft" state="frozen"/>
      <selection activeCell="B1" sqref="B1"/>
      <selection pane="bottomLeft" activeCell="N47" sqref="N2:N47"/>
    </sheetView>
  </sheetViews>
  <sheetFormatPr baseColWidth="10" defaultRowHeight="13.2" x14ac:dyDescent="0.25"/>
  <cols>
    <col min="17" max="17" width="33.21875" style="43" customWidth="1"/>
  </cols>
  <sheetData>
    <row r="1" spans="1:17" x14ac:dyDescent="0.25">
      <c r="A1" s="244" t="s">
        <v>1178</v>
      </c>
      <c r="B1" s="244" t="s">
        <v>1164</v>
      </c>
      <c r="C1" s="249" t="s">
        <v>1165</v>
      </c>
      <c r="D1" s="244" t="s">
        <v>1166</v>
      </c>
      <c r="E1" s="244" t="s">
        <v>1167</v>
      </c>
      <c r="F1" s="244" t="s">
        <v>530</v>
      </c>
      <c r="G1" s="244" t="s">
        <v>1989</v>
      </c>
      <c r="H1" s="244" t="s">
        <v>1180</v>
      </c>
      <c r="I1" s="244" t="s">
        <v>531</v>
      </c>
      <c r="J1" s="244" t="s">
        <v>1829</v>
      </c>
      <c r="K1" s="244" t="s">
        <v>1177</v>
      </c>
      <c r="L1" s="244" t="s">
        <v>1173</v>
      </c>
      <c r="M1" s="246" t="s">
        <v>411</v>
      </c>
      <c r="N1" s="244" t="s">
        <v>1175</v>
      </c>
      <c r="O1" s="247" t="s">
        <v>321</v>
      </c>
      <c r="P1" s="244" t="s">
        <v>1179</v>
      </c>
      <c r="Q1" s="251" t="s">
        <v>2116</v>
      </c>
    </row>
    <row r="2" spans="1:17" hidden="1" x14ac:dyDescent="0.25">
      <c r="A2" s="41">
        <v>1</v>
      </c>
      <c r="C2" s="250">
        <v>44598</v>
      </c>
      <c r="D2" s="41" t="s">
        <v>1797</v>
      </c>
      <c r="E2" s="41" t="s">
        <v>532</v>
      </c>
      <c r="F2" s="41" t="s">
        <v>2238</v>
      </c>
      <c r="G2" s="41"/>
      <c r="H2" s="41"/>
      <c r="I2" s="41"/>
      <c r="J2" s="41"/>
      <c r="K2" s="41"/>
      <c r="L2" s="41"/>
      <c r="M2" s="59"/>
      <c r="N2" s="41"/>
      <c r="O2" s="76"/>
      <c r="P2" s="41"/>
      <c r="Q2" s="43" t="s">
        <v>173</v>
      </c>
    </row>
    <row r="3" spans="1:17" s="41" customFormat="1" ht="71.400000000000006" hidden="1" x14ac:dyDescent="0.2">
      <c r="A3" s="41">
        <v>1</v>
      </c>
      <c r="B3" s="41">
        <v>1128</v>
      </c>
      <c r="C3" s="250">
        <v>44601</v>
      </c>
      <c r="D3" s="41" t="s">
        <v>1797</v>
      </c>
      <c r="E3" s="41" t="s">
        <v>532</v>
      </c>
      <c r="F3" s="41" t="s">
        <v>2050</v>
      </c>
      <c r="G3" s="41" t="s">
        <v>2193</v>
      </c>
      <c r="I3" s="41" t="s">
        <v>395</v>
      </c>
      <c r="J3" s="41" t="s">
        <v>1182</v>
      </c>
      <c r="K3" s="41" t="s">
        <v>661</v>
      </c>
      <c r="L3" s="41">
        <v>1900</v>
      </c>
      <c r="M3" s="59">
        <v>0.45833333333333331</v>
      </c>
      <c r="N3" s="41">
        <v>75</v>
      </c>
      <c r="O3" s="76">
        <f t="shared" ref="O3:O47" si="0">(O2+N3/60)</f>
        <v>1.25</v>
      </c>
      <c r="P3" s="41">
        <v>10</v>
      </c>
      <c r="Q3" s="43" t="s">
        <v>2243</v>
      </c>
    </row>
    <row r="4" spans="1:17" s="41" customFormat="1" ht="71.400000000000006" hidden="1" x14ac:dyDescent="0.2">
      <c r="A4" s="41">
        <v>1</v>
      </c>
      <c r="B4" s="41">
        <v>1129</v>
      </c>
      <c r="C4" s="250">
        <v>44602</v>
      </c>
      <c r="D4" s="41" t="s">
        <v>1797</v>
      </c>
      <c r="E4" s="41" t="s">
        <v>532</v>
      </c>
      <c r="F4" s="41" t="s">
        <v>1836</v>
      </c>
      <c r="G4" s="41" t="s">
        <v>1830</v>
      </c>
      <c r="H4" s="41">
        <v>400</v>
      </c>
      <c r="I4" s="41" t="s">
        <v>395</v>
      </c>
      <c r="J4" s="41" t="s">
        <v>1182</v>
      </c>
      <c r="K4" s="41" t="s">
        <v>661</v>
      </c>
      <c r="L4" s="41">
        <v>2300</v>
      </c>
      <c r="M4" s="59">
        <v>0.4861111111111111</v>
      </c>
      <c r="N4" s="41">
        <v>67</v>
      </c>
      <c r="O4" s="76">
        <f t="shared" si="0"/>
        <v>2.3666666666666667</v>
      </c>
      <c r="P4" s="41">
        <v>10</v>
      </c>
      <c r="Q4" s="43" t="s">
        <v>2242</v>
      </c>
    </row>
    <row r="5" spans="1:17" s="41" customFormat="1" ht="10.199999999999999" hidden="1" x14ac:dyDescent="0.2">
      <c r="A5" s="41">
        <v>1</v>
      </c>
      <c r="B5" s="41">
        <v>1130</v>
      </c>
      <c r="C5" s="250">
        <v>44615</v>
      </c>
      <c r="D5" s="41" t="s">
        <v>1797</v>
      </c>
      <c r="E5" s="41" t="s">
        <v>532</v>
      </c>
      <c r="F5" s="41" t="s">
        <v>2050</v>
      </c>
      <c r="G5" s="41" t="s">
        <v>1830</v>
      </c>
      <c r="H5" s="41">
        <v>700</v>
      </c>
      <c r="I5" s="41" t="s">
        <v>1650</v>
      </c>
      <c r="J5" s="41" t="s">
        <v>1877</v>
      </c>
      <c r="L5" s="41">
        <v>1450</v>
      </c>
      <c r="M5" s="59">
        <v>0.52083333333333337</v>
      </c>
      <c r="N5" s="41">
        <v>105</v>
      </c>
      <c r="O5" s="76">
        <f t="shared" si="0"/>
        <v>4.1166666666666671</v>
      </c>
      <c r="Q5" s="43"/>
    </row>
    <row r="6" spans="1:17" s="41" customFormat="1" ht="10.199999999999999" hidden="1" x14ac:dyDescent="0.2">
      <c r="A6" s="41">
        <v>1</v>
      </c>
      <c r="B6" s="41">
        <v>1131</v>
      </c>
      <c r="C6" s="250">
        <v>44629</v>
      </c>
      <c r="D6" s="41" t="s">
        <v>1797</v>
      </c>
      <c r="E6" s="41" t="s">
        <v>532</v>
      </c>
      <c r="F6" s="41" t="s">
        <v>2050</v>
      </c>
      <c r="G6" s="41" t="s">
        <v>1830</v>
      </c>
      <c r="H6" s="41">
        <v>700</v>
      </c>
      <c r="I6" s="41" t="s">
        <v>1650</v>
      </c>
      <c r="J6" s="41" t="s">
        <v>1877</v>
      </c>
      <c r="L6" s="41">
        <v>1660</v>
      </c>
      <c r="M6" s="59">
        <v>0.52083333333333337</v>
      </c>
      <c r="N6" s="41">
        <v>93</v>
      </c>
      <c r="O6" s="76">
        <f t="shared" si="0"/>
        <v>5.666666666666667</v>
      </c>
      <c r="Q6" s="43"/>
    </row>
    <row r="7" spans="1:17" s="41" customFormat="1" ht="10.199999999999999" hidden="1" x14ac:dyDescent="0.2">
      <c r="A7" s="41">
        <v>1</v>
      </c>
      <c r="B7" s="41">
        <v>1132</v>
      </c>
      <c r="C7" s="250">
        <v>44643</v>
      </c>
      <c r="D7" s="41" t="s">
        <v>1797</v>
      </c>
      <c r="E7" s="41" t="s">
        <v>532</v>
      </c>
      <c r="F7" s="41" t="s">
        <v>2050</v>
      </c>
      <c r="G7" s="41" t="s">
        <v>2193</v>
      </c>
      <c r="I7" s="41" t="s">
        <v>1650</v>
      </c>
      <c r="J7" s="41" t="s">
        <v>1877</v>
      </c>
      <c r="L7" s="41">
        <v>1600</v>
      </c>
      <c r="M7" s="59">
        <v>0.49305555555555558</v>
      </c>
      <c r="N7" s="41">
        <v>129</v>
      </c>
      <c r="O7" s="76">
        <f t="shared" si="0"/>
        <v>7.8166666666666664</v>
      </c>
      <c r="Q7" s="43"/>
    </row>
    <row r="8" spans="1:17" s="41" customFormat="1" ht="30.6" hidden="1" x14ac:dyDescent="0.2">
      <c r="A8" s="41">
        <v>1</v>
      </c>
      <c r="B8" s="41">
        <v>1133</v>
      </c>
      <c r="C8" s="250">
        <v>44655</v>
      </c>
      <c r="D8" s="41" t="s">
        <v>1797</v>
      </c>
      <c r="E8" s="41" t="s">
        <v>532</v>
      </c>
      <c r="F8" s="41" t="s">
        <v>2050</v>
      </c>
      <c r="G8" s="41" t="s">
        <v>1830</v>
      </c>
      <c r="H8" s="41">
        <v>700</v>
      </c>
      <c r="I8" s="41" t="s">
        <v>1650</v>
      </c>
      <c r="J8" s="41" t="s">
        <v>1877</v>
      </c>
      <c r="M8" s="59">
        <v>12</v>
      </c>
      <c r="N8" s="41">
        <v>9</v>
      </c>
      <c r="O8" s="76">
        <f t="shared" si="0"/>
        <v>7.9666666666666668</v>
      </c>
      <c r="Q8" s="43" t="s">
        <v>2244</v>
      </c>
    </row>
    <row r="9" spans="1:17" s="41" customFormat="1" ht="51" hidden="1" x14ac:dyDescent="0.2">
      <c r="A9" s="41">
        <v>1</v>
      </c>
      <c r="B9" s="41">
        <v>1134</v>
      </c>
      <c r="C9" s="250">
        <v>44656</v>
      </c>
      <c r="D9" s="41" t="s">
        <v>1797</v>
      </c>
      <c r="E9" s="41" t="s">
        <v>532</v>
      </c>
      <c r="F9" s="41" t="s">
        <v>1836</v>
      </c>
      <c r="G9" s="41" t="s">
        <v>1830</v>
      </c>
      <c r="H9" s="41">
        <v>400</v>
      </c>
      <c r="I9" s="41" t="s">
        <v>1650</v>
      </c>
      <c r="J9" s="41" t="s">
        <v>1877</v>
      </c>
      <c r="L9" s="41">
        <v>1650</v>
      </c>
      <c r="M9" s="59">
        <v>0.52083333333333337</v>
      </c>
      <c r="N9" s="41">
        <v>142</v>
      </c>
      <c r="O9" s="76">
        <f t="shared" si="0"/>
        <v>10.333333333333334</v>
      </c>
      <c r="Q9" s="43" t="s">
        <v>2245</v>
      </c>
    </row>
    <row r="10" spans="1:17" s="41" customFormat="1" ht="10.199999999999999" hidden="1" x14ac:dyDescent="0.2">
      <c r="A10" s="41">
        <v>1</v>
      </c>
      <c r="B10" s="41">
        <v>1135</v>
      </c>
      <c r="C10" s="250">
        <v>44666</v>
      </c>
      <c r="D10" s="41" t="s">
        <v>1797</v>
      </c>
      <c r="E10" s="41" t="s">
        <v>532</v>
      </c>
      <c r="F10" s="41" t="s">
        <v>2050</v>
      </c>
      <c r="I10" s="41" t="s">
        <v>1650</v>
      </c>
      <c r="J10" s="41" t="s">
        <v>1182</v>
      </c>
      <c r="L10" s="41">
        <v>1860</v>
      </c>
      <c r="M10" s="59">
        <v>0.5</v>
      </c>
      <c r="N10" s="41">
        <v>170</v>
      </c>
      <c r="O10" s="76">
        <f t="shared" si="0"/>
        <v>13.166666666666668</v>
      </c>
      <c r="P10" s="41">
        <v>20</v>
      </c>
    </row>
    <row r="11" spans="1:17" s="41" customFormat="1" ht="20.399999999999999" hidden="1" x14ac:dyDescent="0.2">
      <c r="A11" s="41">
        <v>1</v>
      </c>
      <c r="B11" s="41">
        <v>1136</v>
      </c>
      <c r="C11" s="250">
        <v>44690</v>
      </c>
      <c r="D11" s="41" t="s">
        <v>1797</v>
      </c>
      <c r="E11" s="41" t="s">
        <v>532</v>
      </c>
      <c r="F11" s="41" t="s">
        <v>2050</v>
      </c>
      <c r="I11" s="41" t="s">
        <v>1650</v>
      </c>
      <c r="J11" s="41" t="s">
        <v>1182</v>
      </c>
      <c r="L11" s="41">
        <v>2400</v>
      </c>
      <c r="M11" s="59">
        <v>0.47916666666666669</v>
      </c>
      <c r="N11" s="41">
        <v>218</v>
      </c>
      <c r="O11" s="76">
        <f t="shared" si="0"/>
        <v>16.8</v>
      </c>
      <c r="P11" s="41">
        <v>43</v>
      </c>
      <c r="Q11" s="43" t="s">
        <v>2246</v>
      </c>
    </row>
    <row r="12" spans="1:17" s="41" customFormat="1" ht="30.6" hidden="1" x14ac:dyDescent="0.2">
      <c r="A12" s="41">
        <v>1</v>
      </c>
      <c r="B12" s="41">
        <v>1137</v>
      </c>
      <c r="C12" s="250">
        <v>44708</v>
      </c>
      <c r="D12" s="41" t="s">
        <v>1797</v>
      </c>
      <c r="E12" s="41" t="s">
        <v>532</v>
      </c>
      <c r="F12" s="41" t="s">
        <v>2019</v>
      </c>
      <c r="I12" s="41" t="s">
        <v>2248</v>
      </c>
      <c r="J12" s="41" t="s">
        <v>1182</v>
      </c>
      <c r="L12" s="41">
        <v>2933</v>
      </c>
      <c r="M12" s="59">
        <v>0.51388888888888895</v>
      </c>
      <c r="N12" s="41">
        <v>147</v>
      </c>
      <c r="O12" s="76">
        <f t="shared" si="0"/>
        <v>19.25</v>
      </c>
      <c r="P12" s="41">
        <v>21</v>
      </c>
      <c r="Q12" s="43" t="s">
        <v>2249</v>
      </c>
    </row>
    <row r="13" spans="1:17" s="41" customFormat="1" ht="71.400000000000006" hidden="1" x14ac:dyDescent="0.2">
      <c r="A13" s="41">
        <v>1</v>
      </c>
      <c r="B13" s="41">
        <v>1138</v>
      </c>
      <c r="C13" s="250">
        <v>44709</v>
      </c>
      <c r="D13" s="41" t="s">
        <v>2247</v>
      </c>
      <c r="E13" s="41" t="s">
        <v>532</v>
      </c>
      <c r="F13" s="41" t="s">
        <v>2019</v>
      </c>
      <c r="I13" s="41" t="s">
        <v>2248</v>
      </c>
      <c r="J13" s="41" t="s">
        <v>1182</v>
      </c>
      <c r="L13" s="41">
        <v>3245</v>
      </c>
      <c r="M13" s="59">
        <v>0.52083333333333337</v>
      </c>
      <c r="N13" s="41">
        <v>187</v>
      </c>
      <c r="O13" s="76">
        <f t="shared" si="0"/>
        <v>22.366666666666667</v>
      </c>
      <c r="P13" s="41">
        <v>35</v>
      </c>
      <c r="Q13" s="43" t="s">
        <v>2250</v>
      </c>
    </row>
    <row r="14" spans="1:17" s="41" customFormat="1" ht="61.2" hidden="1" x14ac:dyDescent="0.2">
      <c r="A14" s="41">
        <v>1</v>
      </c>
      <c r="B14" s="41">
        <v>1139</v>
      </c>
      <c r="C14" s="250">
        <v>44710</v>
      </c>
      <c r="D14" s="41" t="s">
        <v>1797</v>
      </c>
      <c r="E14" s="41" t="s">
        <v>532</v>
      </c>
      <c r="F14" s="41" t="s">
        <v>2019</v>
      </c>
      <c r="I14" s="41" t="s">
        <v>2248</v>
      </c>
      <c r="J14" s="41" t="s">
        <v>1182</v>
      </c>
      <c r="L14" s="41">
        <v>2667</v>
      </c>
      <c r="M14" s="59">
        <v>0.49652777777777773</v>
      </c>
      <c r="N14" s="41">
        <v>124</v>
      </c>
      <c r="O14" s="76">
        <f t="shared" si="0"/>
        <v>24.433333333333334</v>
      </c>
      <c r="P14" s="41">
        <v>17</v>
      </c>
      <c r="Q14" s="43" t="s">
        <v>2251</v>
      </c>
    </row>
    <row r="15" spans="1:17" s="41" customFormat="1" ht="10.199999999999999" hidden="1" x14ac:dyDescent="0.2">
      <c r="A15" s="41">
        <v>1</v>
      </c>
      <c r="B15" s="41">
        <v>1140</v>
      </c>
      <c r="C15" s="250">
        <v>44719</v>
      </c>
      <c r="D15" s="41" t="s">
        <v>2154</v>
      </c>
      <c r="E15" s="41" t="s">
        <v>532</v>
      </c>
      <c r="F15" s="41" t="s">
        <v>2050</v>
      </c>
      <c r="I15" s="41" t="s">
        <v>1650</v>
      </c>
      <c r="J15" s="41" t="s">
        <v>1877</v>
      </c>
      <c r="M15" s="59"/>
      <c r="N15" s="41">
        <v>42</v>
      </c>
      <c r="O15" s="76">
        <f t="shared" si="0"/>
        <v>25.133333333333333</v>
      </c>
      <c r="Q15" s="43" t="s">
        <v>2254</v>
      </c>
    </row>
    <row r="16" spans="1:17" s="41" customFormat="1" ht="10.199999999999999" hidden="1" x14ac:dyDescent="0.2">
      <c r="A16" s="41">
        <v>1</v>
      </c>
      <c r="B16" s="41">
        <v>1141</v>
      </c>
      <c r="C16" s="250">
        <v>44729</v>
      </c>
      <c r="D16" s="41" t="s">
        <v>2154</v>
      </c>
      <c r="E16" s="41" t="s">
        <v>532</v>
      </c>
      <c r="F16" s="41" t="s">
        <v>2050</v>
      </c>
      <c r="I16" s="41" t="s">
        <v>1650</v>
      </c>
      <c r="J16" s="41" t="s">
        <v>1877</v>
      </c>
      <c r="M16" s="59"/>
      <c r="N16" s="41">
        <v>11</v>
      </c>
      <c r="O16" s="76">
        <f t="shared" si="0"/>
        <v>25.316666666666666</v>
      </c>
      <c r="Q16" s="43" t="s">
        <v>2254</v>
      </c>
    </row>
    <row r="17" spans="1:17" s="41" customFormat="1" ht="10.199999999999999" hidden="1" x14ac:dyDescent="0.2">
      <c r="A17" s="41">
        <v>1</v>
      </c>
      <c r="B17" s="41">
        <v>1142</v>
      </c>
      <c r="C17" s="250">
        <v>44736</v>
      </c>
      <c r="D17" s="41" t="s">
        <v>1797</v>
      </c>
      <c r="E17" s="41" t="s">
        <v>532</v>
      </c>
      <c r="F17" s="41" t="s">
        <v>2050</v>
      </c>
      <c r="I17" s="41" t="s">
        <v>1650</v>
      </c>
      <c r="J17" s="41" t="s">
        <v>1877</v>
      </c>
      <c r="M17" s="59"/>
      <c r="N17" s="41">
        <v>80</v>
      </c>
      <c r="O17" s="76">
        <f t="shared" si="0"/>
        <v>26.65</v>
      </c>
      <c r="Q17" s="43"/>
    </row>
    <row r="18" spans="1:17" s="41" customFormat="1" ht="10.199999999999999" x14ac:dyDescent="0.2">
      <c r="A18" s="41">
        <v>1</v>
      </c>
      <c r="B18" s="41">
        <v>1143</v>
      </c>
      <c r="C18" s="250">
        <v>44740</v>
      </c>
      <c r="D18" s="41" t="s">
        <v>2255</v>
      </c>
      <c r="E18" s="41" t="s">
        <v>532</v>
      </c>
      <c r="F18" s="41" t="s">
        <v>2050</v>
      </c>
      <c r="I18" s="41" t="s">
        <v>1650</v>
      </c>
      <c r="J18" s="41" t="s">
        <v>1877</v>
      </c>
      <c r="M18" s="59"/>
      <c r="N18" s="41">
        <v>51</v>
      </c>
      <c r="O18" s="76">
        <f t="shared" si="0"/>
        <v>27.5</v>
      </c>
      <c r="Q18" s="43" t="s">
        <v>2253</v>
      </c>
    </row>
    <row r="19" spans="1:17" s="41" customFormat="1" ht="10.199999999999999" hidden="1" x14ac:dyDescent="0.2">
      <c r="A19" s="41">
        <v>1</v>
      </c>
      <c r="B19" s="41">
        <v>1144</v>
      </c>
      <c r="C19" s="250">
        <v>44741</v>
      </c>
      <c r="D19" s="41" t="s">
        <v>2154</v>
      </c>
      <c r="E19" s="41" t="s">
        <v>532</v>
      </c>
      <c r="F19" s="41" t="s">
        <v>2050</v>
      </c>
      <c r="I19" s="41" t="s">
        <v>1650</v>
      </c>
      <c r="J19" s="41" t="s">
        <v>1877</v>
      </c>
      <c r="M19" s="59"/>
      <c r="N19" s="41">
        <v>46</v>
      </c>
      <c r="O19" s="76">
        <f t="shared" si="0"/>
        <v>28.266666666666666</v>
      </c>
      <c r="Q19" s="43" t="s">
        <v>1925</v>
      </c>
    </row>
    <row r="20" spans="1:17" s="41" customFormat="1" ht="10.199999999999999" x14ac:dyDescent="0.2">
      <c r="A20" s="41">
        <v>1</v>
      </c>
      <c r="B20" s="41">
        <v>1145</v>
      </c>
      <c r="C20" s="250">
        <v>44750</v>
      </c>
      <c r="D20" s="41" t="s">
        <v>2255</v>
      </c>
      <c r="E20" s="41" t="s">
        <v>532</v>
      </c>
      <c r="F20" s="41" t="s">
        <v>2050</v>
      </c>
      <c r="I20" s="41" t="s">
        <v>1650</v>
      </c>
      <c r="J20" s="41" t="s">
        <v>1877</v>
      </c>
      <c r="M20" s="59"/>
      <c r="N20" s="41">
        <v>57</v>
      </c>
      <c r="O20" s="76">
        <f t="shared" si="0"/>
        <v>29.216666666666665</v>
      </c>
      <c r="Q20" s="43" t="s">
        <v>2252</v>
      </c>
    </row>
    <row r="21" spans="1:17" s="41" customFormat="1" ht="10.199999999999999" hidden="1" x14ac:dyDescent="0.2">
      <c r="A21" s="41">
        <v>1</v>
      </c>
      <c r="B21" s="41">
        <v>1146</v>
      </c>
      <c r="C21" s="250">
        <v>44750</v>
      </c>
      <c r="D21" s="41" t="s">
        <v>2154</v>
      </c>
      <c r="E21" s="41" t="s">
        <v>532</v>
      </c>
      <c r="F21" s="41" t="s">
        <v>2050</v>
      </c>
      <c r="I21" s="41" t="s">
        <v>1650</v>
      </c>
      <c r="J21" s="41" t="s">
        <v>1877</v>
      </c>
      <c r="M21" s="59"/>
      <c r="N21" s="41">
        <v>57</v>
      </c>
      <c r="O21" s="76">
        <f t="shared" si="0"/>
        <v>30.166666666666664</v>
      </c>
      <c r="Q21" s="43" t="s">
        <v>1925</v>
      </c>
    </row>
    <row r="22" spans="1:17" s="41" customFormat="1" ht="40.799999999999997" hidden="1" x14ac:dyDescent="0.2">
      <c r="A22" s="41">
        <v>1</v>
      </c>
      <c r="B22" s="41">
        <v>1147</v>
      </c>
      <c r="C22" s="250">
        <v>44797</v>
      </c>
      <c r="D22" s="41" t="s">
        <v>1797</v>
      </c>
      <c r="E22" s="41" t="s">
        <v>532</v>
      </c>
      <c r="F22" s="41" t="s">
        <v>2050</v>
      </c>
      <c r="I22" s="41" t="s">
        <v>1650</v>
      </c>
      <c r="J22" s="41" t="s">
        <v>1877</v>
      </c>
      <c r="L22" s="41">
        <v>1600</v>
      </c>
      <c r="M22" s="59">
        <v>0.52083333333333337</v>
      </c>
      <c r="N22" s="41">
        <v>157</v>
      </c>
      <c r="O22" s="76">
        <f t="shared" si="0"/>
        <v>32.783333333333331</v>
      </c>
      <c r="Q22" s="43" t="s">
        <v>2259</v>
      </c>
    </row>
    <row r="23" spans="1:17" s="41" customFormat="1" ht="10.199999999999999" hidden="1" x14ac:dyDescent="0.2">
      <c r="A23" s="41">
        <v>1</v>
      </c>
      <c r="B23" s="41">
        <v>1148</v>
      </c>
      <c r="C23" s="250">
        <v>44808</v>
      </c>
      <c r="D23" s="41" t="s">
        <v>2154</v>
      </c>
      <c r="E23" s="41" t="s">
        <v>532</v>
      </c>
      <c r="F23" s="41" t="s">
        <v>2050</v>
      </c>
      <c r="I23" s="41" t="s">
        <v>1650</v>
      </c>
      <c r="J23" s="41" t="s">
        <v>1877</v>
      </c>
      <c r="M23" s="59">
        <v>0.4375</v>
      </c>
      <c r="N23" s="41">
        <v>15</v>
      </c>
      <c r="O23" s="76">
        <f t="shared" si="0"/>
        <v>33.033333333333331</v>
      </c>
      <c r="Q23" s="43" t="s">
        <v>2260</v>
      </c>
    </row>
    <row r="24" spans="1:17" s="41" customFormat="1" ht="10.199999999999999" hidden="1" x14ac:dyDescent="0.2">
      <c r="A24" s="41">
        <v>1</v>
      </c>
      <c r="B24" s="41">
        <v>1149</v>
      </c>
      <c r="C24" s="250">
        <v>44808</v>
      </c>
      <c r="D24" s="41" t="s">
        <v>2154</v>
      </c>
      <c r="E24" s="41" t="s">
        <v>532</v>
      </c>
      <c r="F24" s="41" t="s">
        <v>2050</v>
      </c>
      <c r="I24" s="41" t="s">
        <v>1650</v>
      </c>
      <c r="J24" s="41" t="s">
        <v>1877</v>
      </c>
      <c r="M24" s="59">
        <v>0.5</v>
      </c>
      <c r="N24" s="41">
        <v>15</v>
      </c>
      <c r="O24" s="76">
        <f t="shared" si="0"/>
        <v>33.283333333333331</v>
      </c>
      <c r="Q24" s="43" t="s">
        <v>2260</v>
      </c>
    </row>
    <row r="25" spans="1:17" s="41" customFormat="1" ht="10.199999999999999" hidden="1" x14ac:dyDescent="0.2">
      <c r="A25" s="41">
        <v>1</v>
      </c>
      <c r="B25" s="41">
        <v>1150</v>
      </c>
      <c r="C25" s="250">
        <v>44808</v>
      </c>
      <c r="D25" s="41" t="s">
        <v>2154</v>
      </c>
      <c r="E25" s="41" t="s">
        <v>532</v>
      </c>
      <c r="F25" s="41" t="s">
        <v>2050</v>
      </c>
      <c r="I25" s="41" t="s">
        <v>1650</v>
      </c>
      <c r="J25" s="41" t="s">
        <v>1877</v>
      </c>
      <c r="M25" s="59">
        <v>0.5625</v>
      </c>
      <c r="N25" s="41">
        <v>15</v>
      </c>
      <c r="O25" s="76">
        <f t="shared" si="0"/>
        <v>33.533333333333331</v>
      </c>
      <c r="Q25" s="43" t="s">
        <v>2260</v>
      </c>
    </row>
    <row r="26" spans="1:17" s="41" customFormat="1" ht="20.399999999999999" hidden="1" x14ac:dyDescent="0.2">
      <c r="A26" s="41">
        <v>1</v>
      </c>
      <c r="B26" s="41">
        <v>1151</v>
      </c>
      <c r="C26" s="250">
        <v>44808</v>
      </c>
      <c r="D26" s="41" t="s">
        <v>2154</v>
      </c>
      <c r="E26" s="41" t="s">
        <v>532</v>
      </c>
      <c r="F26" s="41" t="s">
        <v>2077</v>
      </c>
      <c r="I26" s="41" t="s">
        <v>1650</v>
      </c>
      <c r="J26" s="41" t="s">
        <v>1877</v>
      </c>
      <c r="M26" s="59">
        <v>0.75</v>
      </c>
      <c r="N26" s="41">
        <v>15</v>
      </c>
      <c r="O26" s="76">
        <f t="shared" si="0"/>
        <v>33.783333333333331</v>
      </c>
      <c r="Q26" s="43" t="s">
        <v>2261</v>
      </c>
    </row>
    <row r="27" spans="1:17" s="41" customFormat="1" ht="10.199999999999999" x14ac:dyDescent="0.2">
      <c r="A27" s="41">
        <v>1</v>
      </c>
      <c r="B27" s="41">
        <v>1152</v>
      </c>
      <c r="C27" s="250">
        <v>44809</v>
      </c>
      <c r="D27" s="41" t="s">
        <v>2255</v>
      </c>
      <c r="E27" s="41" t="s">
        <v>532</v>
      </c>
      <c r="F27" s="41" t="s">
        <v>2050</v>
      </c>
      <c r="I27" s="41" t="s">
        <v>1650</v>
      </c>
      <c r="J27" s="41" t="s">
        <v>1877</v>
      </c>
      <c r="K27" s="41" t="s">
        <v>2262</v>
      </c>
      <c r="M27" s="59">
        <v>0.5625</v>
      </c>
      <c r="N27" s="41">
        <v>17</v>
      </c>
      <c r="O27" s="76">
        <f t="shared" si="0"/>
        <v>34.066666666666663</v>
      </c>
      <c r="Q27" s="43"/>
    </row>
    <row r="28" spans="1:17" s="41" customFormat="1" ht="30.6" x14ac:dyDescent="0.2">
      <c r="A28" s="41">
        <v>1</v>
      </c>
      <c r="B28" s="41">
        <v>1153</v>
      </c>
      <c r="C28" s="250">
        <v>44810</v>
      </c>
      <c r="D28" s="41" t="s">
        <v>2255</v>
      </c>
      <c r="E28" s="41" t="s">
        <v>532</v>
      </c>
      <c r="F28" s="41" t="s">
        <v>2050</v>
      </c>
      <c r="I28" s="41" t="s">
        <v>1650</v>
      </c>
      <c r="J28" s="41" t="s">
        <v>1877</v>
      </c>
      <c r="K28" s="41" t="s">
        <v>2263</v>
      </c>
      <c r="M28" s="59">
        <v>0.52083333333333337</v>
      </c>
      <c r="N28" s="41">
        <v>204</v>
      </c>
      <c r="O28" s="76">
        <f t="shared" si="0"/>
        <v>37.466666666666661</v>
      </c>
      <c r="Q28" s="43" t="s">
        <v>2264</v>
      </c>
    </row>
    <row r="29" spans="1:17" s="41" customFormat="1" ht="10.199999999999999" hidden="1" x14ac:dyDescent="0.2">
      <c r="A29" s="41">
        <v>5</v>
      </c>
      <c r="B29" s="41">
        <v>1154</v>
      </c>
      <c r="C29" s="250">
        <v>44814</v>
      </c>
      <c r="D29" s="41" t="s">
        <v>2154</v>
      </c>
      <c r="E29" s="41" t="s">
        <v>532</v>
      </c>
      <c r="F29" s="41" t="s">
        <v>2050</v>
      </c>
      <c r="I29" s="41" t="s">
        <v>1650</v>
      </c>
      <c r="J29" s="41" t="s">
        <v>1877</v>
      </c>
      <c r="M29" s="59"/>
      <c r="N29" s="41">
        <v>100</v>
      </c>
      <c r="O29" s="76">
        <f t="shared" si="0"/>
        <v>39.133333333333326</v>
      </c>
      <c r="Q29" s="43" t="s">
        <v>2265</v>
      </c>
    </row>
    <row r="30" spans="1:17" s="41" customFormat="1" ht="10.199999999999999" hidden="1" x14ac:dyDescent="0.2">
      <c r="A30" s="41">
        <v>6</v>
      </c>
      <c r="B30" s="41">
        <v>1155</v>
      </c>
      <c r="C30" s="250">
        <v>44815</v>
      </c>
      <c r="D30" s="41" t="s">
        <v>2154</v>
      </c>
      <c r="E30" s="41" t="s">
        <v>532</v>
      </c>
      <c r="F30" s="41" t="s">
        <v>2050</v>
      </c>
      <c r="I30" s="41" t="s">
        <v>1650</v>
      </c>
      <c r="J30" s="41" t="s">
        <v>1877</v>
      </c>
      <c r="M30" s="59"/>
      <c r="N30" s="41">
        <v>60</v>
      </c>
      <c r="O30" s="76">
        <f t="shared" si="0"/>
        <v>40.133333333333326</v>
      </c>
      <c r="Q30" s="43" t="s">
        <v>2265</v>
      </c>
    </row>
    <row r="31" spans="1:17" s="41" customFormat="1" ht="30.6" hidden="1" x14ac:dyDescent="0.2">
      <c r="A31" s="41">
        <v>1</v>
      </c>
      <c r="B31" s="41">
        <v>1156</v>
      </c>
      <c r="C31" s="250">
        <v>44818</v>
      </c>
      <c r="D31" s="41" t="s">
        <v>2154</v>
      </c>
      <c r="E31" s="41" t="s">
        <v>532</v>
      </c>
      <c r="F31" s="41" t="s">
        <v>2050</v>
      </c>
      <c r="I31" s="41" t="s">
        <v>1650</v>
      </c>
      <c r="J31" s="41" t="s">
        <v>1877</v>
      </c>
      <c r="L31" s="41">
        <v>1700</v>
      </c>
      <c r="M31" s="59">
        <v>0.58333333333333337</v>
      </c>
      <c r="N31" s="41">
        <v>57</v>
      </c>
      <c r="O31" s="76">
        <f t="shared" si="0"/>
        <v>41.083333333333329</v>
      </c>
      <c r="Q31" s="43" t="s">
        <v>2266</v>
      </c>
    </row>
    <row r="32" spans="1:17" s="41" customFormat="1" ht="30.6" x14ac:dyDescent="0.2">
      <c r="A32" s="41">
        <v>1</v>
      </c>
      <c r="B32" s="41">
        <v>1157</v>
      </c>
      <c r="C32" s="250">
        <v>44819</v>
      </c>
      <c r="D32" s="41" t="s">
        <v>2255</v>
      </c>
      <c r="E32" s="41" t="s">
        <v>532</v>
      </c>
      <c r="F32" s="41" t="s">
        <v>2050</v>
      </c>
      <c r="G32" s="41" t="s">
        <v>2193</v>
      </c>
      <c r="I32" s="41" t="s">
        <v>1650</v>
      </c>
      <c r="J32" s="41" t="s">
        <v>1877</v>
      </c>
      <c r="M32" s="59">
        <v>0.41666666666666669</v>
      </c>
      <c r="N32" s="41">
        <v>13</v>
      </c>
      <c r="O32" s="76">
        <f t="shared" si="0"/>
        <v>41.3</v>
      </c>
      <c r="Q32" s="43" t="s">
        <v>2267</v>
      </c>
    </row>
    <row r="33" spans="1:17" s="41" customFormat="1" ht="30.6" x14ac:dyDescent="0.2">
      <c r="A33" s="41">
        <v>1</v>
      </c>
      <c r="B33" s="41">
        <v>1158</v>
      </c>
      <c r="C33" s="250">
        <v>44819</v>
      </c>
      <c r="D33" s="41" t="s">
        <v>2255</v>
      </c>
      <c r="E33" s="41" t="s">
        <v>532</v>
      </c>
      <c r="F33" s="41" t="s">
        <v>2050</v>
      </c>
      <c r="G33" s="41" t="s">
        <v>2193</v>
      </c>
      <c r="I33" s="41" t="s">
        <v>1650</v>
      </c>
      <c r="J33" s="41" t="s">
        <v>1877</v>
      </c>
      <c r="L33" s="41">
        <v>1800</v>
      </c>
      <c r="M33" s="59">
        <v>0.4861111111111111</v>
      </c>
      <c r="N33" s="41">
        <v>97</v>
      </c>
      <c r="O33" s="76">
        <f t="shared" si="0"/>
        <v>42.916666666666664</v>
      </c>
      <c r="Q33" s="43" t="s">
        <v>2268</v>
      </c>
    </row>
    <row r="34" spans="1:17" s="41" customFormat="1" ht="112.2" x14ac:dyDescent="0.2">
      <c r="A34" s="41">
        <v>1</v>
      </c>
      <c r="B34" s="41">
        <v>1159</v>
      </c>
      <c r="C34" s="250">
        <v>44823</v>
      </c>
      <c r="D34" s="41" t="s">
        <v>2255</v>
      </c>
      <c r="E34" s="41" t="s">
        <v>532</v>
      </c>
      <c r="F34" s="41" t="s">
        <v>2050</v>
      </c>
      <c r="G34" s="41" t="s">
        <v>1830</v>
      </c>
      <c r="H34" s="41">
        <v>700</v>
      </c>
      <c r="I34" s="41" t="s">
        <v>1650</v>
      </c>
      <c r="J34" s="41" t="s">
        <v>1877</v>
      </c>
      <c r="L34" s="41">
        <v>1580</v>
      </c>
      <c r="M34" s="59">
        <v>0.54999999999999993</v>
      </c>
      <c r="N34" s="41">
        <v>143</v>
      </c>
      <c r="O34" s="76">
        <f t="shared" si="0"/>
        <v>45.3</v>
      </c>
      <c r="Q34" s="43" t="s">
        <v>2269</v>
      </c>
    </row>
    <row r="35" spans="1:17" s="41" customFormat="1" ht="10.199999999999999" x14ac:dyDescent="0.2">
      <c r="A35" s="41">
        <v>1</v>
      </c>
      <c r="B35" s="41">
        <v>1160</v>
      </c>
      <c r="C35" s="250">
        <v>44825</v>
      </c>
      <c r="D35" s="41" t="s">
        <v>2255</v>
      </c>
      <c r="E35" s="41" t="s">
        <v>532</v>
      </c>
      <c r="F35" s="41" t="s">
        <v>2050</v>
      </c>
      <c r="I35" s="41" t="s">
        <v>1650</v>
      </c>
      <c r="J35" s="41" t="s">
        <v>1877</v>
      </c>
      <c r="L35" s="41">
        <v>1732</v>
      </c>
      <c r="M35" s="59">
        <v>0.57430555555555551</v>
      </c>
      <c r="N35" s="41">
        <v>127</v>
      </c>
      <c r="O35" s="76">
        <f t="shared" si="0"/>
        <v>47.416666666666664</v>
      </c>
      <c r="Q35" s="43"/>
    </row>
    <row r="36" spans="1:17" s="41" customFormat="1" ht="122.4" x14ac:dyDescent="0.2">
      <c r="A36" s="41">
        <v>1</v>
      </c>
      <c r="B36" s="41">
        <v>1161</v>
      </c>
      <c r="C36" s="250">
        <v>44826</v>
      </c>
      <c r="D36" s="41" t="s">
        <v>2255</v>
      </c>
      <c r="E36" s="41" t="s">
        <v>532</v>
      </c>
      <c r="F36" s="41" t="s">
        <v>2050</v>
      </c>
      <c r="G36" s="41" t="s">
        <v>1830</v>
      </c>
      <c r="H36" s="41">
        <v>700</v>
      </c>
      <c r="I36" s="41" t="s">
        <v>1650</v>
      </c>
      <c r="J36" s="41" t="s">
        <v>1182</v>
      </c>
      <c r="L36" s="41">
        <v>1512</v>
      </c>
      <c r="M36" s="59">
        <v>0.55555555555555558</v>
      </c>
      <c r="N36" s="41">
        <v>164</v>
      </c>
      <c r="O36" s="76">
        <f t="shared" si="0"/>
        <v>50.15</v>
      </c>
      <c r="P36" s="41">
        <v>25</v>
      </c>
      <c r="Q36" s="43" t="s">
        <v>2271</v>
      </c>
    </row>
    <row r="37" spans="1:17" s="41" customFormat="1" ht="10.199999999999999" hidden="1" x14ac:dyDescent="0.2">
      <c r="A37" s="41">
        <v>1</v>
      </c>
      <c r="B37" s="41">
        <v>1162</v>
      </c>
      <c r="C37" s="250">
        <v>44839</v>
      </c>
      <c r="E37" s="41" t="s">
        <v>532</v>
      </c>
      <c r="I37" s="41" t="s">
        <v>1650</v>
      </c>
      <c r="J37" s="41" t="s">
        <v>1877</v>
      </c>
      <c r="M37" s="59"/>
      <c r="N37" s="41">
        <v>25</v>
      </c>
      <c r="O37" s="76">
        <f t="shared" si="0"/>
        <v>50.566666666666663</v>
      </c>
      <c r="Q37" s="43"/>
    </row>
    <row r="38" spans="1:17" s="41" customFormat="1" ht="10.199999999999999" hidden="1" x14ac:dyDescent="0.2">
      <c r="A38" s="41">
        <v>1</v>
      </c>
      <c r="B38" s="41">
        <v>1163</v>
      </c>
      <c r="C38" s="250">
        <v>44844</v>
      </c>
      <c r="E38" s="41" t="s">
        <v>532</v>
      </c>
      <c r="F38" s="41" t="s">
        <v>2050</v>
      </c>
      <c r="G38" s="41" t="s">
        <v>1830</v>
      </c>
      <c r="H38" s="41">
        <v>700</v>
      </c>
      <c r="I38" s="41" t="s">
        <v>1650</v>
      </c>
      <c r="J38" s="41" t="s">
        <v>1877</v>
      </c>
      <c r="M38" s="59"/>
      <c r="N38" s="41">
        <v>22</v>
      </c>
      <c r="O38" s="76">
        <f t="shared" si="0"/>
        <v>50.93333333333333</v>
      </c>
      <c r="Q38" s="43"/>
    </row>
    <row r="39" spans="1:17" s="41" customFormat="1" ht="102" x14ac:dyDescent="0.2">
      <c r="A39" s="41">
        <v>1</v>
      </c>
      <c r="B39" s="41">
        <v>1164</v>
      </c>
      <c r="C39" s="250">
        <v>44849</v>
      </c>
      <c r="D39" s="41" t="s">
        <v>2255</v>
      </c>
      <c r="E39" s="41" t="s">
        <v>532</v>
      </c>
      <c r="F39" s="41" t="s">
        <v>1836</v>
      </c>
      <c r="G39" s="41" t="s">
        <v>1830</v>
      </c>
      <c r="H39" s="41">
        <v>1100</v>
      </c>
      <c r="I39" s="41" t="s">
        <v>1650</v>
      </c>
      <c r="J39" s="41" t="s">
        <v>1877</v>
      </c>
      <c r="M39" s="59"/>
      <c r="N39" s="41">
        <v>93</v>
      </c>
      <c r="O39" s="76">
        <f t="shared" si="0"/>
        <v>52.483333333333327</v>
      </c>
      <c r="Q39" s="43" t="s">
        <v>2272</v>
      </c>
    </row>
    <row r="40" spans="1:17" s="41" customFormat="1" ht="10.199999999999999" x14ac:dyDescent="0.2">
      <c r="A40" s="41">
        <v>1</v>
      </c>
      <c r="B40" s="41">
        <v>1165</v>
      </c>
      <c r="C40" s="250">
        <v>44850</v>
      </c>
      <c r="D40" s="41" t="s">
        <v>2255</v>
      </c>
      <c r="E40" s="41" t="s">
        <v>532</v>
      </c>
      <c r="F40" s="41" t="s">
        <v>2050</v>
      </c>
      <c r="G40" s="41" t="s">
        <v>2193</v>
      </c>
      <c r="I40" s="41" t="s">
        <v>1650</v>
      </c>
      <c r="J40" s="41" t="s">
        <v>1877</v>
      </c>
      <c r="M40" s="59"/>
      <c r="N40" s="41">
        <v>29</v>
      </c>
      <c r="O40" s="76">
        <f t="shared" si="0"/>
        <v>52.966666666666661</v>
      </c>
      <c r="Q40" s="43"/>
    </row>
    <row r="41" spans="1:17" s="41" customFormat="1" ht="183.6" x14ac:dyDescent="0.2">
      <c r="A41" s="41">
        <v>1</v>
      </c>
      <c r="B41" s="41">
        <v>1166</v>
      </c>
      <c r="C41" s="250">
        <v>44851</v>
      </c>
      <c r="D41" s="41" t="s">
        <v>2255</v>
      </c>
      <c r="E41" s="41" t="s">
        <v>2273</v>
      </c>
      <c r="F41" s="41" t="s">
        <v>2274</v>
      </c>
      <c r="G41" s="41" t="s">
        <v>2193</v>
      </c>
      <c r="I41" s="41" t="s">
        <v>1231</v>
      </c>
      <c r="J41" s="41" t="s">
        <v>1877</v>
      </c>
      <c r="K41" s="41" t="s">
        <v>2275</v>
      </c>
      <c r="L41" s="41">
        <v>1980</v>
      </c>
      <c r="M41" s="59">
        <v>0.71527777777777779</v>
      </c>
      <c r="N41" s="41">
        <v>127</v>
      </c>
      <c r="O41" s="76">
        <f t="shared" si="0"/>
        <v>55.083333333333329</v>
      </c>
      <c r="Q41" s="43" t="s">
        <v>2276</v>
      </c>
    </row>
    <row r="42" spans="1:17" s="41" customFormat="1" ht="112.2" x14ac:dyDescent="0.2">
      <c r="A42" s="41">
        <v>1</v>
      </c>
      <c r="B42" s="41">
        <v>1167</v>
      </c>
      <c r="C42" s="250">
        <v>44852</v>
      </c>
      <c r="D42" s="41" t="s">
        <v>2255</v>
      </c>
      <c r="E42" s="41" t="s">
        <v>2273</v>
      </c>
      <c r="F42" s="41" t="s">
        <v>2277</v>
      </c>
      <c r="G42" s="41" t="s">
        <v>2193</v>
      </c>
      <c r="I42" s="41" t="s">
        <v>1231</v>
      </c>
      <c r="J42" s="41" t="s">
        <v>1877</v>
      </c>
      <c r="K42" s="41" t="s">
        <v>2275</v>
      </c>
      <c r="L42" s="41">
        <v>1780</v>
      </c>
      <c r="M42" s="59">
        <v>0.83680555555555569</v>
      </c>
      <c r="N42" s="41">
        <v>111</v>
      </c>
      <c r="O42" s="76">
        <f t="shared" si="0"/>
        <v>56.93333333333333</v>
      </c>
      <c r="Q42" s="43" t="s">
        <v>2278</v>
      </c>
    </row>
    <row r="43" spans="1:17" s="41" customFormat="1" ht="10.199999999999999" x14ac:dyDescent="0.2">
      <c r="A43" s="41">
        <v>1</v>
      </c>
      <c r="B43" s="41">
        <v>1168</v>
      </c>
      <c r="C43" s="250">
        <v>44852</v>
      </c>
      <c r="D43" s="41" t="s">
        <v>2255</v>
      </c>
      <c r="E43" s="41" t="s">
        <v>2273</v>
      </c>
      <c r="F43" s="41" t="s">
        <v>2274</v>
      </c>
      <c r="G43" s="41" t="s">
        <v>2193</v>
      </c>
      <c r="I43" s="41" t="s">
        <v>1231</v>
      </c>
      <c r="J43" s="41" t="s">
        <v>1877</v>
      </c>
      <c r="K43" s="41" t="s">
        <v>2275</v>
      </c>
      <c r="M43" s="59"/>
      <c r="N43" s="41">
        <v>18</v>
      </c>
      <c r="O43" s="76">
        <f t="shared" si="0"/>
        <v>57.233333333333327</v>
      </c>
      <c r="Q43" s="43"/>
    </row>
    <row r="44" spans="1:17" s="41" customFormat="1" ht="10.199999999999999" x14ac:dyDescent="0.2">
      <c r="A44" s="41">
        <v>1</v>
      </c>
      <c r="B44" s="41">
        <v>1169</v>
      </c>
      <c r="C44" s="250">
        <v>44853</v>
      </c>
      <c r="D44" s="41" t="s">
        <v>2255</v>
      </c>
      <c r="E44" s="41" t="s">
        <v>2273</v>
      </c>
      <c r="F44" s="41" t="s">
        <v>2279</v>
      </c>
      <c r="G44" s="41" t="s">
        <v>2193</v>
      </c>
      <c r="I44" s="41" t="s">
        <v>1231</v>
      </c>
      <c r="J44" s="41" t="s">
        <v>1877</v>
      </c>
      <c r="K44" s="41" t="s">
        <v>2280</v>
      </c>
      <c r="M44" s="59"/>
      <c r="N44" s="41">
        <v>9</v>
      </c>
      <c r="O44" s="76">
        <f t="shared" si="0"/>
        <v>57.383333333333326</v>
      </c>
      <c r="Q44" s="43"/>
    </row>
    <row r="45" spans="1:17" s="41" customFormat="1" ht="10.199999999999999" x14ac:dyDescent="0.2">
      <c r="A45" s="41">
        <v>1</v>
      </c>
      <c r="B45" s="41">
        <v>1170</v>
      </c>
      <c r="C45" s="250">
        <v>44853</v>
      </c>
      <c r="D45" s="41" t="s">
        <v>2255</v>
      </c>
      <c r="E45" s="41" t="s">
        <v>2273</v>
      </c>
      <c r="F45" s="41" t="s">
        <v>2274</v>
      </c>
      <c r="G45" s="41" t="s">
        <v>2193</v>
      </c>
      <c r="I45" s="41" t="s">
        <v>1231</v>
      </c>
      <c r="J45" s="41" t="s">
        <v>1877</v>
      </c>
      <c r="K45" s="41" t="s">
        <v>2280</v>
      </c>
      <c r="M45" s="59"/>
      <c r="N45" s="41">
        <v>8</v>
      </c>
      <c r="O45" s="76">
        <f t="shared" si="0"/>
        <v>57.516666666666659</v>
      </c>
      <c r="Q45" s="43"/>
    </row>
    <row r="46" spans="1:17" s="41" customFormat="1" ht="142.80000000000001" hidden="1" x14ac:dyDescent="0.2">
      <c r="A46" s="41">
        <v>1</v>
      </c>
      <c r="B46" s="41">
        <v>1171</v>
      </c>
      <c r="C46" s="250">
        <v>44881</v>
      </c>
      <c r="D46" s="41" t="s">
        <v>1797</v>
      </c>
      <c r="E46" s="41" t="s">
        <v>532</v>
      </c>
      <c r="F46" s="41" t="s">
        <v>1836</v>
      </c>
      <c r="G46" s="41" t="s">
        <v>1830</v>
      </c>
      <c r="H46" s="41">
        <v>1100</v>
      </c>
      <c r="I46" s="41" t="s">
        <v>1650</v>
      </c>
      <c r="J46" s="41" t="s">
        <v>1877</v>
      </c>
      <c r="K46" s="41" t="s">
        <v>2281</v>
      </c>
      <c r="L46" s="41">
        <v>2087</v>
      </c>
      <c r="M46" s="59">
        <v>0.54861111111111105</v>
      </c>
      <c r="N46" s="41">
        <v>54</v>
      </c>
      <c r="O46" s="76">
        <f t="shared" si="0"/>
        <v>58.416666666666657</v>
      </c>
      <c r="Q46" s="43" t="s">
        <v>2282</v>
      </c>
    </row>
    <row r="47" spans="1:17" s="41" customFormat="1" ht="20.399999999999999" hidden="1" x14ac:dyDescent="0.2">
      <c r="A47" s="41">
        <v>1</v>
      </c>
      <c r="B47" s="41">
        <v>1172</v>
      </c>
      <c r="C47" s="250">
        <v>44976</v>
      </c>
      <c r="D47" s="41" t="s">
        <v>1797</v>
      </c>
      <c r="E47" s="41" t="s">
        <v>532</v>
      </c>
      <c r="F47" s="41" t="s">
        <v>1836</v>
      </c>
      <c r="G47" s="41" t="s">
        <v>1830</v>
      </c>
      <c r="H47" s="41">
        <v>1100</v>
      </c>
      <c r="I47" s="41" t="s">
        <v>1650</v>
      </c>
      <c r="J47" s="41" t="s">
        <v>1877</v>
      </c>
      <c r="M47" s="59"/>
      <c r="N47" s="41">
        <v>15</v>
      </c>
      <c r="O47" s="76">
        <f t="shared" si="0"/>
        <v>58.666666666666657</v>
      </c>
      <c r="Q47" s="43" t="s">
        <v>2283</v>
      </c>
    </row>
    <row r="48" spans="1:17" s="41" customFormat="1" ht="10.199999999999999" x14ac:dyDescent="0.2">
      <c r="C48" s="250"/>
      <c r="M48" s="59"/>
      <c r="O48" s="76"/>
      <c r="Q48" s="43"/>
    </row>
    <row r="49" spans="3:17" s="41" customFormat="1" ht="10.199999999999999" x14ac:dyDescent="0.2">
      <c r="C49" s="250"/>
      <c r="M49" s="59"/>
      <c r="O49" s="76"/>
      <c r="Q49" s="43"/>
    </row>
    <row r="50" spans="3:17" s="41" customFormat="1" ht="10.199999999999999" x14ac:dyDescent="0.2">
      <c r="C50" s="250"/>
      <c r="M50" s="59"/>
      <c r="O50" s="76"/>
      <c r="Q50" s="43"/>
    </row>
    <row r="51" spans="3:17" s="41" customFormat="1" ht="10.199999999999999" x14ac:dyDescent="0.2">
      <c r="C51" s="250"/>
      <c r="M51" s="59"/>
      <c r="O51" s="76"/>
      <c r="Q51" s="43"/>
    </row>
    <row r="52" spans="3:17" s="41" customFormat="1" ht="10.199999999999999" x14ac:dyDescent="0.2">
      <c r="C52" s="250"/>
      <c r="M52" s="59"/>
      <c r="O52" s="76"/>
      <c r="Q52" s="43"/>
    </row>
    <row r="53" spans="3:17" s="41" customFormat="1" ht="10.199999999999999" x14ac:dyDescent="0.2">
      <c r="C53" s="250"/>
      <c r="M53" s="59"/>
      <c r="O53" s="76"/>
      <c r="Q53" s="43"/>
    </row>
    <row r="54" spans="3:17" s="41" customFormat="1" ht="10.199999999999999" x14ac:dyDescent="0.2">
      <c r="C54" s="250"/>
      <c r="M54" s="59"/>
      <c r="O54" s="76"/>
      <c r="Q54" s="43"/>
    </row>
    <row r="55" spans="3:17" s="41" customFormat="1" ht="10.199999999999999" x14ac:dyDescent="0.2">
      <c r="C55" s="250"/>
      <c r="M55" s="59"/>
      <c r="O55" s="76"/>
      <c r="Q55" s="43"/>
    </row>
    <row r="56" spans="3:17" s="41" customFormat="1" ht="10.199999999999999" x14ac:dyDescent="0.2">
      <c r="C56" s="250"/>
      <c r="M56" s="59"/>
      <c r="O56" s="76"/>
      <c r="Q56" s="43"/>
    </row>
    <row r="57" spans="3:17" s="41" customFormat="1" ht="10.199999999999999" x14ac:dyDescent="0.2">
      <c r="C57" s="250"/>
      <c r="M57" s="59"/>
      <c r="O57" s="76"/>
      <c r="Q57" s="43"/>
    </row>
    <row r="58" spans="3:17" s="41" customFormat="1" ht="10.199999999999999" x14ac:dyDescent="0.2">
      <c r="C58" s="250"/>
      <c r="M58" s="59"/>
      <c r="O58" s="76"/>
      <c r="Q58" s="43"/>
    </row>
    <row r="59" spans="3:17" s="41" customFormat="1" ht="10.199999999999999" x14ac:dyDescent="0.2">
      <c r="C59" s="250"/>
      <c r="M59" s="59"/>
      <c r="O59" s="76"/>
      <c r="Q59" s="43"/>
    </row>
    <row r="60" spans="3:17" s="41" customFormat="1" ht="10.199999999999999" x14ac:dyDescent="0.2">
      <c r="C60" s="250"/>
      <c r="M60" s="59"/>
      <c r="O60" s="76"/>
      <c r="Q60" s="43"/>
    </row>
    <row r="61" spans="3:17" s="41" customFormat="1" ht="10.199999999999999" x14ac:dyDescent="0.2">
      <c r="C61" s="250"/>
      <c r="M61" s="59"/>
      <c r="O61" s="76"/>
      <c r="Q61" s="43"/>
    </row>
    <row r="62" spans="3:17" s="41" customFormat="1" ht="10.199999999999999" x14ac:dyDescent="0.2">
      <c r="C62" s="250"/>
      <c r="M62" s="59"/>
      <c r="O62" s="76"/>
      <c r="Q62" s="43"/>
    </row>
    <row r="63" spans="3:17" s="41" customFormat="1" ht="10.199999999999999" x14ac:dyDescent="0.2">
      <c r="C63" s="250"/>
      <c r="M63" s="59"/>
      <c r="O63" s="76"/>
      <c r="Q63" s="43"/>
    </row>
    <row r="64" spans="3:17" s="41" customFormat="1" ht="10.199999999999999" x14ac:dyDescent="0.2">
      <c r="C64" s="250"/>
      <c r="M64" s="59"/>
      <c r="O64" s="76"/>
      <c r="Q64" s="43"/>
    </row>
    <row r="65" spans="3:17" s="41" customFormat="1" ht="10.199999999999999" x14ac:dyDescent="0.2">
      <c r="C65" s="250"/>
      <c r="M65" s="59"/>
      <c r="O65" s="76"/>
      <c r="Q65" s="43"/>
    </row>
    <row r="66" spans="3:17" s="41" customFormat="1" ht="10.199999999999999" x14ac:dyDescent="0.2">
      <c r="C66" s="250"/>
      <c r="M66" s="59"/>
      <c r="O66" s="76"/>
      <c r="Q66" s="43"/>
    </row>
    <row r="67" spans="3:17" s="41" customFormat="1" ht="10.199999999999999" x14ac:dyDescent="0.2">
      <c r="C67" s="250"/>
      <c r="M67" s="59"/>
      <c r="O67" s="76"/>
      <c r="Q67" s="43"/>
    </row>
  </sheetData>
  <autoFilter ref="A1:Q47">
    <filterColumn colId="3">
      <filters>
        <filter val="Sigma 11 - 24"/>
      </filters>
    </filterColumn>
  </autoFilter>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0"/>
  <sheetViews>
    <sheetView zoomScaleNormal="100" workbookViewId="0">
      <pane ySplit="1" topLeftCell="A2" activePane="bottomLeft" state="frozen"/>
      <selection activeCell="B1" sqref="B1"/>
      <selection pane="bottomLeft" activeCell="N47" sqref="N2:N47"/>
    </sheetView>
  </sheetViews>
  <sheetFormatPr baseColWidth="10" defaultRowHeight="13.2" x14ac:dyDescent="0.25"/>
  <cols>
    <col min="17" max="17" width="33.21875" style="41" customWidth="1"/>
  </cols>
  <sheetData>
    <row r="1" spans="1:17" x14ac:dyDescent="0.25">
      <c r="A1" s="244" t="s">
        <v>1178</v>
      </c>
      <c r="B1" s="244" t="s">
        <v>1164</v>
      </c>
      <c r="C1" s="249" t="s">
        <v>1165</v>
      </c>
      <c r="D1" s="244" t="s">
        <v>1166</v>
      </c>
      <c r="E1" s="244" t="s">
        <v>1167</v>
      </c>
      <c r="F1" s="244" t="s">
        <v>530</v>
      </c>
      <c r="G1" s="244" t="s">
        <v>1989</v>
      </c>
      <c r="H1" s="244" t="s">
        <v>1180</v>
      </c>
      <c r="I1" s="244" t="s">
        <v>531</v>
      </c>
      <c r="J1" s="244" t="s">
        <v>1829</v>
      </c>
      <c r="K1" s="244" t="s">
        <v>1177</v>
      </c>
      <c r="L1" s="244" t="s">
        <v>1173</v>
      </c>
      <c r="M1" s="246" t="s">
        <v>411</v>
      </c>
      <c r="N1" s="244" t="s">
        <v>1175</v>
      </c>
      <c r="O1" s="247" t="s">
        <v>321</v>
      </c>
      <c r="P1" s="244" t="s">
        <v>1179</v>
      </c>
      <c r="Q1" s="244" t="s">
        <v>2116</v>
      </c>
    </row>
    <row r="2" spans="1:17" x14ac:dyDescent="0.25">
      <c r="A2" s="41">
        <v>0</v>
      </c>
      <c r="B2" s="41"/>
      <c r="C2" s="250">
        <v>44230</v>
      </c>
      <c r="D2" s="41" t="s">
        <v>1797</v>
      </c>
      <c r="E2" s="41"/>
      <c r="F2" s="41" t="s">
        <v>309</v>
      </c>
      <c r="G2" s="41"/>
      <c r="H2" s="41"/>
      <c r="I2" s="41"/>
      <c r="J2" s="41" t="s">
        <v>343</v>
      </c>
      <c r="K2" s="41" t="s">
        <v>2192</v>
      </c>
      <c r="L2" s="41"/>
      <c r="M2" s="59"/>
      <c r="N2" s="41"/>
      <c r="O2" s="76"/>
      <c r="P2" s="41"/>
      <c r="Q2" s="41">
        <v>30</v>
      </c>
    </row>
    <row r="3" spans="1:17" x14ac:dyDescent="0.25">
      <c r="A3" s="41">
        <v>1</v>
      </c>
      <c r="B3" s="41">
        <v>1075</v>
      </c>
      <c r="C3" s="250">
        <v>44231</v>
      </c>
      <c r="D3" s="41" t="s">
        <v>1797</v>
      </c>
      <c r="E3" s="41" t="s">
        <v>532</v>
      </c>
      <c r="F3" s="41" t="s">
        <v>2050</v>
      </c>
      <c r="G3" s="41" t="s">
        <v>1830</v>
      </c>
      <c r="H3" s="41">
        <v>700</v>
      </c>
      <c r="I3" s="41" t="s">
        <v>1650</v>
      </c>
      <c r="J3" s="41" t="s">
        <v>1877</v>
      </c>
      <c r="K3" s="41"/>
      <c r="L3" s="41"/>
      <c r="M3" s="59">
        <v>0.54166666666666663</v>
      </c>
      <c r="N3" s="41">
        <v>8</v>
      </c>
      <c r="O3" s="76">
        <f>(O2+N3/60)</f>
        <v>0.13333333333333333</v>
      </c>
      <c r="P3" s="41"/>
      <c r="Q3" s="41" t="s">
        <v>2194</v>
      </c>
    </row>
    <row r="4" spans="1:17" x14ac:dyDescent="0.25">
      <c r="A4" s="41">
        <v>1</v>
      </c>
      <c r="B4" s="41">
        <v>1076</v>
      </c>
      <c r="C4" s="250">
        <v>44231</v>
      </c>
      <c r="D4" s="41" t="s">
        <v>1797</v>
      </c>
      <c r="E4" s="41" t="s">
        <v>532</v>
      </c>
      <c r="F4" s="41" t="s">
        <v>2050</v>
      </c>
      <c r="G4" s="41" t="s">
        <v>2193</v>
      </c>
      <c r="H4" s="41"/>
      <c r="I4" s="41" t="s">
        <v>1650</v>
      </c>
      <c r="J4" s="41" t="s">
        <v>1877</v>
      </c>
      <c r="K4" s="41"/>
      <c r="L4" s="41"/>
      <c r="M4" s="59">
        <v>0.5625</v>
      </c>
      <c r="N4" s="41">
        <v>8</v>
      </c>
      <c r="O4" s="76">
        <f>(O3+N4/60)</f>
        <v>0.26666666666666666</v>
      </c>
      <c r="P4" s="41"/>
      <c r="Q4" s="41" t="s">
        <v>2195</v>
      </c>
    </row>
    <row r="5" spans="1:17" x14ac:dyDescent="0.25">
      <c r="A5" s="41">
        <v>1</v>
      </c>
      <c r="B5" s="41">
        <v>1077</v>
      </c>
      <c r="C5" s="250">
        <v>44250</v>
      </c>
      <c r="D5" s="41" t="s">
        <v>1797</v>
      </c>
      <c r="E5" s="41" t="s">
        <v>532</v>
      </c>
      <c r="F5" s="41" t="s">
        <v>1836</v>
      </c>
      <c r="G5" s="41" t="s">
        <v>1830</v>
      </c>
      <c r="H5" s="41">
        <v>1100</v>
      </c>
      <c r="I5" s="41" t="s">
        <v>1650</v>
      </c>
      <c r="J5" s="41" t="s">
        <v>1877</v>
      </c>
      <c r="K5" s="41" t="s">
        <v>2196</v>
      </c>
      <c r="L5" s="41">
        <v>1670</v>
      </c>
      <c r="M5" s="59">
        <v>0.52083333333333337</v>
      </c>
      <c r="N5" s="41">
        <v>100</v>
      </c>
      <c r="O5" s="76">
        <f t="shared" ref="O5:O47" si="0">(O4+N5/60)</f>
        <v>1.9333333333333333</v>
      </c>
      <c r="P5" s="41"/>
      <c r="Q5" s="41" t="s">
        <v>2197</v>
      </c>
    </row>
    <row r="6" spans="1:17" x14ac:dyDescent="0.25">
      <c r="A6" s="41">
        <v>1</v>
      </c>
      <c r="B6" s="41">
        <v>1078</v>
      </c>
      <c r="C6" s="250">
        <v>44251</v>
      </c>
      <c r="D6" s="41" t="s">
        <v>1797</v>
      </c>
      <c r="E6" s="41" t="s">
        <v>532</v>
      </c>
      <c r="F6" s="41" t="s">
        <v>2050</v>
      </c>
      <c r="G6" s="41" t="s">
        <v>2193</v>
      </c>
      <c r="H6" s="41"/>
      <c r="I6" s="41" t="s">
        <v>1650</v>
      </c>
      <c r="J6" s="41" t="s">
        <v>1877</v>
      </c>
      <c r="K6" s="41" t="s">
        <v>2196</v>
      </c>
      <c r="L6" s="41">
        <v>1000</v>
      </c>
      <c r="M6" s="59">
        <v>0.54166666666666663</v>
      </c>
      <c r="N6" s="41">
        <v>70</v>
      </c>
      <c r="O6" s="76">
        <f t="shared" si="0"/>
        <v>3.1</v>
      </c>
      <c r="P6" s="41"/>
      <c r="Q6" s="41" t="s">
        <v>2198</v>
      </c>
    </row>
    <row r="7" spans="1:17" x14ac:dyDescent="0.25">
      <c r="A7" s="41">
        <v>1</v>
      </c>
      <c r="B7" s="41">
        <v>1079</v>
      </c>
      <c r="C7" s="250">
        <v>44252</v>
      </c>
      <c r="D7" s="41" t="s">
        <v>1797</v>
      </c>
      <c r="E7" s="41" t="s">
        <v>532</v>
      </c>
      <c r="F7" s="41" t="s">
        <v>2050</v>
      </c>
      <c r="G7" s="41" t="s">
        <v>2193</v>
      </c>
      <c r="H7" s="41"/>
      <c r="I7" s="41" t="s">
        <v>1650</v>
      </c>
      <c r="J7" s="41" t="s">
        <v>1877</v>
      </c>
      <c r="K7" s="41" t="s">
        <v>552</v>
      </c>
      <c r="L7" s="41"/>
      <c r="M7" s="59">
        <v>0.52083333333333337</v>
      </c>
      <c r="N7" s="41">
        <v>15</v>
      </c>
      <c r="O7" s="76">
        <f t="shared" si="0"/>
        <v>3.35</v>
      </c>
      <c r="P7" s="41"/>
      <c r="Q7" s="41" t="s">
        <v>2199</v>
      </c>
    </row>
    <row r="8" spans="1:17" x14ac:dyDescent="0.25">
      <c r="A8" s="41">
        <v>1</v>
      </c>
      <c r="B8" s="41">
        <v>1080</v>
      </c>
      <c r="C8" s="250">
        <v>44252</v>
      </c>
      <c r="D8" s="41" t="s">
        <v>1797</v>
      </c>
      <c r="E8" s="41" t="s">
        <v>532</v>
      </c>
      <c r="F8" s="41" t="s">
        <v>2050</v>
      </c>
      <c r="G8" s="41" t="s">
        <v>2193</v>
      </c>
      <c r="H8" s="41"/>
      <c r="I8" s="41" t="s">
        <v>1650</v>
      </c>
      <c r="J8" s="41" t="s">
        <v>1877</v>
      </c>
      <c r="K8" s="41" t="s">
        <v>552</v>
      </c>
      <c r="L8" s="41">
        <v>1400</v>
      </c>
      <c r="M8" s="59">
        <v>0.5625</v>
      </c>
      <c r="N8" s="41">
        <v>90</v>
      </c>
      <c r="O8" s="76">
        <f t="shared" si="0"/>
        <v>4.8499999999999996</v>
      </c>
      <c r="P8" s="41"/>
      <c r="Q8" s="41" t="s">
        <v>2200</v>
      </c>
    </row>
    <row r="9" spans="1:17" x14ac:dyDescent="0.25">
      <c r="A9" s="41">
        <v>1</v>
      </c>
      <c r="B9" s="41">
        <v>1081</v>
      </c>
      <c r="C9" s="250">
        <v>44258</v>
      </c>
      <c r="D9" s="41" t="s">
        <v>1797</v>
      </c>
      <c r="E9" s="41" t="s">
        <v>532</v>
      </c>
      <c r="F9" s="41" t="s">
        <v>2050</v>
      </c>
      <c r="G9" s="41" t="s">
        <v>1830</v>
      </c>
      <c r="H9" s="41">
        <v>700</v>
      </c>
      <c r="I9" s="41" t="s">
        <v>1650</v>
      </c>
      <c r="J9" s="41" t="s">
        <v>1877</v>
      </c>
      <c r="K9" s="41"/>
      <c r="L9" s="41"/>
      <c r="M9" s="59"/>
      <c r="N9" s="41">
        <v>15</v>
      </c>
      <c r="O9" s="76">
        <f t="shared" si="0"/>
        <v>5.0999999999999996</v>
      </c>
      <c r="P9" s="41"/>
      <c r="Q9" s="41" t="s">
        <v>2201</v>
      </c>
    </row>
    <row r="10" spans="1:17" x14ac:dyDescent="0.25">
      <c r="A10" s="41">
        <v>1</v>
      </c>
      <c r="B10" s="41">
        <v>1082</v>
      </c>
      <c r="C10" s="250">
        <v>44259</v>
      </c>
      <c r="D10" s="41" t="s">
        <v>1797</v>
      </c>
      <c r="E10" s="41" t="s">
        <v>532</v>
      </c>
      <c r="F10" s="41" t="s">
        <v>1836</v>
      </c>
      <c r="G10" s="41" t="s">
        <v>1830</v>
      </c>
      <c r="H10" s="41">
        <v>400</v>
      </c>
      <c r="I10" s="41" t="s">
        <v>1650</v>
      </c>
      <c r="J10" s="41" t="s">
        <v>1877</v>
      </c>
      <c r="K10" s="41"/>
      <c r="L10" s="41">
        <v>1980</v>
      </c>
      <c r="M10" s="59">
        <v>0.5625</v>
      </c>
      <c r="N10" s="41">
        <v>150</v>
      </c>
      <c r="O10" s="76">
        <f t="shared" si="0"/>
        <v>7.6</v>
      </c>
      <c r="P10" s="41"/>
      <c r="Q10" s="41" t="s">
        <v>2202</v>
      </c>
    </row>
    <row r="11" spans="1:17" x14ac:dyDescent="0.25">
      <c r="A11" s="41">
        <v>1</v>
      </c>
      <c r="B11" s="41">
        <v>1083</v>
      </c>
      <c r="C11" s="250">
        <v>44278</v>
      </c>
      <c r="D11" s="41" t="s">
        <v>2154</v>
      </c>
      <c r="E11" s="41" t="s">
        <v>532</v>
      </c>
      <c r="F11" s="41" t="s">
        <v>2050</v>
      </c>
      <c r="G11" s="41" t="s">
        <v>2193</v>
      </c>
      <c r="H11" s="41"/>
      <c r="I11" s="41" t="s">
        <v>1650</v>
      </c>
      <c r="J11" s="41" t="s">
        <v>1877</v>
      </c>
      <c r="K11" s="41"/>
      <c r="L11" s="41"/>
      <c r="M11" s="59"/>
      <c r="N11" s="41">
        <v>11</v>
      </c>
      <c r="O11" s="76">
        <f t="shared" si="0"/>
        <v>7.7833333333333332</v>
      </c>
      <c r="P11" s="41"/>
      <c r="Q11" s="41" t="s">
        <v>2208</v>
      </c>
    </row>
    <row r="12" spans="1:17" x14ac:dyDescent="0.25">
      <c r="A12" s="41">
        <v>1</v>
      </c>
      <c r="B12" s="41">
        <v>1084</v>
      </c>
      <c r="C12" s="250">
        <v>44279</v>
      </c>
      <c r="D12" s="41" t="s">
        <v>1797</v>
      </c>
      <c r="E12" s="41" t="s">
        <v>532</v>
      </c>
      <c r="F12" s="41" t="s">
        <v>2050</v>
      </c>
      <c r="G12" s="41" t="s">
        <v>2193</v>
      </c>
      <c r="H12" s="41"/>
      <c r="I12" s="41" t="s">
        <v>1650</v>
      </c>
      <c r="J12" s="41" t="s">
        <v>1877</v>
      </c>
      <c r="K12" s="41"/>
      <c r="L12" s="41"/>
      <c r="M12" s="59"/>
      <c r="N12" s="41">
        <v>12</v>
      </c>
      <c r="O12" s="76">
        <f t="shared" si="0"/>
        <v>7.9833333333333334</v>
      </c>
      <c r="P12" s="41"/>
    </row>
    <row r="13" spans="1:17" x14ac:dyDescent="0.25">
      <c r="A13" s="41">
        <v>1</v>
      </c>
      <c r="B13" s="41">
        <v>1085</v>
      </c>
      <c r="C13" s="250">
        <v>44279</v>
      </c>
      <c r="D13" s="41" t="s">
        <v>1797</v>
      </c>
      <c r="E13" s="41" t="s">
        <v>532</v>
      </c>
      <c r="F13" s="41" t="s">
        <v>2050</v>
      </c>
      <c r="G13" s="41" t="s">
        <v>2193</v>
      </c>
      <c r="H13" s="41"/>
      <c r="I13" s="41" t="s">
        <v>1650</v>
      </c>
      <c r="J13" s="41" t="s">
        <v>1877</v>
      </c>
      <c r="K13" s="41" t="s">
        <v>2207</v>
      </c>
      <c r="L13" s="41"/>
      <c r="M13" s="59"/>
      <c r="N13" s="41">
        <v>90</v>
      </c>
      <c r="O13" s="76">
        <f t="shared" si="0"/>
        <v>9.4833333333333343</v>
      </c>
      <c r="P13" s="41"/>
      <c r="Q13" s="41" t="s">
        <v>2209</v>
      </c>
    </row>
    <row r="14" spans="1:17" x14ac:dyDescent="0.25">
      <c r="A14" s="41">
        <v>1</v>
      </c>
      <c r="B14" s="41">
        <v>1086</v>
      </c>
      <c r="C14" s="250">
        <v>44285</v>
      </c>
      <c r="D14" s="41" t="s">
        <v>1797</v>
      </c>
      <c r="E14" s="41" t="s">
        <v>532</v>
      </c>
      <c r="F14" s="41" t="s">
        <v>2050</v>
      </c>
      <c r="G14" s="41" t="s">
        <v>2193</v>
      </c>
      <c r="H14" s="41"/>
      <c r="I14" s="41" t="s">
        <v>1650</v>
      </c>
      <c r="J14" s="41" t="s">
        <v>1182</v>
      </c>
      <c r="K14" s="41" t="s">
        <v>2210</v>
      </c>
      <c r="L14" s="41">
        <v>2200</v>
      </c>
      <c r="M14" s="59">
        <v>11</v>
      </c>
      <c r="N14" s="41">
        <v>52</v>
      </c>
      <c r="O14" s="76">
        <f t="shared" si="0"/>
        <v>10.350000000000001</v>
      </c>
      <c r="P14" s="41">
        <v>15</v>
      </c>
      <c r="Q14" s="41" t="s">
        <v>2213</v>
      </c>
    </row>
    <row r="15" spans="1:17" x14ac:dyDescent="0.25">
      <c r="A15" s="41">
        <v>1</v>
      </c>
      <c r="B15" s="41">
        <v>1087</v>
      </c>
      <c r="C15" s="250">
        <v>44288</v>
      </c>
      <c r="D15" s="41" t="s">
        <v>1797</v>
      </c>
      <c r="E15" s="41" t="s">
        <v>532</v>
      </c>
      <c r="F15" s="41" t="s">
        <v>2050</v>
      </c>
      <c r="G15" s="41" t="s">
        <v>1830</v>
      </c>
      <c r="H15" s="41">
        <v>700</v>
      </c>
      <c r="I15" s="41" t="s">
        <v>1650</v>
      </c>
      <c r="J15" s="41" t="s">
        <v>1877</v>
      </c>
      <c r="K15" s="41" t="s">
        <v>2212</v>
      </c>
      <c r="L15" s="41"/>
      <c r="M15" s="59"/>
      <c r="N15" s="41">
        <v>20</v>
      </c>
      <c r="O15" s="76">
        <f t="shared" si="0"/>
        <v>10.683333333333335</v>
      </c>
      <c r="P15" s="41"/>
      <c r="Q15" s="41" t="s">
        <v>2214</v>
      </c>
    </row>
    <row r="16" spans="1:17" x14ac:dyDescent="0.25">
      <c r="A16" s="41">
        <v>1</v>
      </c>
      <c r="B16" s="41">
        <v>1088</v>
      </c>
      <c r="C16" s="250">
        <v>44293</v>
      </c>
      <c r="D16" s="41" t="s">
        <v>1797</v>
      </c>
      <c r="E16" s="41" t="s">
        <v>532</v>
      </c>
      <c r="F16" s="41" t="s">
        <v>2050</v>
      </c>
      <c r="G16" s="41" t="s">
        <v>1830</v>
      </c>
      <c r="H16" s="41">
        <v>700</v>
      </c>
      <c r="I16" s="41" t="s">
        <v>1650</v>
      </c>
      <c r="J16" s="41" t="s">
        <v>1877</v>
      </c>
      <c r="K16" s="41" t="s">
        <v>2211</v>
      </c>
      <c r="L16" s="41">
        <v>1800</v>
      </c>
      <c r="M16" s="59">
        <v>0.47916666666666669</v>
      </c>
      <c r="N16" s="41">
        <v>63</v>
      </c>
      <c r="O16" s="76">
        <f t="shared" si="0"/>
        <v>11.733333333333336</v>
      </c>
      <c r="P16" s="41"/>
      <c r="Q16" s="41" t="s">
        <v>2215</v>
      </c>
    </row>
    <row r="17" spans="1:17" x14ac:dyDescent="0.25">
      <c r="A17" s="41">
        <v>1</v>
      </c>
      <c r="B17" s="41">
        <v>1089</v>
      </c>
      <c r="C17" s="250">
        <v>44294</v>
      </c>
      <c r="D17" s="41" t="s">
        <v>1797</v>
      </c>
      <c r="E17" s="41" t="s">
        <v>532</v>
      </c>
      <c r="F17" s="41" t="s">
        <v>2050</v>
      </c>
      <c r="G17" s="41"/>
      <c r="I17" s="41" t="s">
        <v>1650</v>
      </c>
      <c r="J17" s="41" t="s">
        <v>1877</v>
      </c>
      <c r="K17" s="41" t="s">
        <v>2211</v>
      </c>
      <c r="M17" s="59">
        <v>0.4375</v>
      </c>
      <c r="N17" s="41">
        <v>11</v>
      </c>
      <c r="O17" s="76">
        <f t="shared" si="0"/>
        <v>11.91666666666667</v>
      </c>
      <c r="P17" s="41"/>
    </row>
    <row r="18" spans="1:17" x14ac:dyDescent="0.25">
      <c r="A18" s="41">
        <v>1</v>
      </c>
      <c r="B18" s="41">
        <v>1090</v>
      </c>
      <c r="C18" s="250">
        <v>44294</v>
      </c>
      <c r="D18" s="41" t="s">
        <v>1797</v>
      </c>
      <c r="E18" s="41" t="s">
        <v>532</v>
      </c>
      <c r="F18" s="41" t="s">
        <v>2050</v>
      </c>
      <c r="G18" s="41" t="s">
        <v>1830</v>
      </c>
      <c r="H18" s="41">
        <v>700</v>
      </c>
      <c r="I18" s="41" t="s">
        <v>1650</v>
      </c>
      <c r="J18" s="41" t="s">
        <v>1877</v>
      </c>
      <c r="K18" s="41" t="s">
        <v>2211</v>
      </c>
      <c r="L18" s="41">
        <v>1400</v>
      </c>
      <c r="M18" s="59">
        <v>0.51736111111111105</v>
      </c>
      <c r="N18" s="41">
        <v>92</v>
      </c>
      <c r="O18" s="76">
        <f t="shared" si="0"/>
        <v>13.450000000000003</v>
      </c>
      <c r="P18" s="41"/>
    </row>
    <row r="19" spans="1:17" x14ac:dyDescent="0.25">
      <c r="A19" s="41">
        <v>1</v>
      </c>
      <c r="B19" s="41">
        <v>1091</v>
      </c>
      <c r="C19" s="250">
        <v>44336</v>
      </c>
      <c r="D19" s="41" t="s">
        <v>1797</v>
      </c>
      <c r="E19" s="41" t="s">
        <v>532</v>
      </c>
      <c r="F19" s="41" t="s">
        <v>2050</v>
      </c>
      <c r="G19" s="41" t="s">
        <v>2193</v>
      </c>
      <c r="H19" s="41"/>
      <c r="I19" s="41" t="s">
        <v>1650</v>
      </c>
      <c r="J19" s="41" t="s">
        <v>1877</v>
      </c>
      <c r="K19" s="41"/>
      <c r="L19" s="41"/>
      <c r="M19" s="59">
        <v>0.5</v>
      </c>
      <c r="N19" s="41">
        <v>13</v>
      </c>
      <c r="O19" s="76">
        <f t="shared" si="0"/>
        <v>13.66666666666667</v>
      </c>
      <c r="P19" s="41"/>
      <c r="Q19" s="41" t="s">
        <v>2216</v>
      </c>
    </row>
    <row r="20" spans="1:17" x14ac:dyDescent="0.25">
      <c r="A20" s="41">
        <v>1</v>
      </c>
      <c r="B20" s="41">
        <v>1092</v>
      </c>
      <c r="C20" s="250">
        <v>44336</v>
      </c>
      <c r="D20" s="41" t="s">
        <v>1797</v>
      </c>
      <c r="E20" s="41" t="s">
        <v>532</v>
      </c>
      <c r="F20" s="41" t="s">
        <v>2050</v>
      </c>
      <c r="G20" s="41" t="s">
        <v>2193</v>
      </c>
      <c r="H20" s="41"/>
      <c r="I20" s="41" t="s">
        <v>1650</v>
      </c>
      <c r="J20" s="41" t="s">
        <v>1877</v>
      </c>
      <c r="K20" s="41" t="s">
        <v>239</v>
      </c>
      <c r="L20" s="41">
        <v>1450</v>
      </c>
      <c r="M20" s="59">
        <v>0.54166666666666663</v>
      </c>
      <c r="N20" s="41">
        <v>97</v>
      </c>
      <c r="O20" s="76">
        <f t="shared" si="0"/>
        <v>15.283333333333337</v>
      </c>
      <c r="P20" s="41"/>
      <c r="Q20" s="41" t="s">
        <v>2217</v>
      </c>
    </row>
    <row r="21" spans="1:17" x14ac:dyDescent="0.25">
      <c r="A21" s="41">
        <v>1</v>
      </c>
      <c r="B21" s="41">
        <v>1093</v>
      </c>
      <c r="C21" s="250">
        <v>44343</v>
      </c>
      <c r="D21" s="41" t="s">
        <v>1797</v>
      </c>
      <c r="E21" s="41" t="s">
        <v>532</v>
      </c>
      <c r="F21" s="41" t="s">
        <v>2050</v>
      </c>
      <c r="G21" s="41" t="s">
        <v>1830</v>
      </c>
      <c r="H21" s="41"/>
      <c r="I21" s="41" t="s">
        <v>1650</v>
      </c>
      <c r="J21" s="41" t="s">
        <v>1877</v>
      </c>
      <c r="K21" s="41"/>
      <c r="L21" s="41"/>
      <c r="M21" s="59"/>
      <c r="N21" s="41"/>
      <c r="O21" s="76">
        <f t="shared" si="0"/>
        <v>15.283333333333337</v>
      </c>
      <c r="P21" s="41"/>
    </row>
    <row r="22" spans="1:17" x14ac:dyDescent="0.25">
      <c r="A22" s="41">
        <v>1</v>
      </c>
      <c r="B22" s="41">
        <v>1094</v>
      </c>
      <c r="C22" s="250">
        <v>44344</v>
      </c>
      <c r="D22" s="41" t="s">
        <v>1797</v>
      </c>
      <c r="E22" s="41" t="s">
        <v>532</v>
      </c>
      <c r="F22" s="41" t="s">
        <v>2050</v>
      </c>
      <c r="G22" s="41" t="s">
        <v>1830</v>
      </c>
      <c r="H22" s="41"/>
      <c r="I22" s="41" t="s">
        <v>1650</v>
      </c>
      <c r="J22" s="41" t="s">
        <v>1877</v>
      </c>
      <c r="K22" s="41"/>
      <c r="L22" s="41"/>
      <c r="M22" s="59">
        <v>0.52083333333333337</v>
      </c>
      <c r="N22" s="41">
        <v>140</v>
      </c>
      <c r="O22" s="76">
        <f t="shared" si="0"/>
        <v>17.616666666666671</v>
      </c>
      <c r="P22" s="41"/>
    </row>
    <row r="23" spans="1:17" x14ac:dyDescent="0.25">
      <c r="A23" s="41">
        <v>1</v>
      </c>
      <c r="B23" s="41">
        <v>1095</v>
      </c>
      <c r="C23" s="250">
        <v>44350</v>
      </c>
      <c r="D23" s="41" t="s">
        <v>1797</v>
      </c>
      <c r="E23" s="41" t="s">
        <v>532</v>
      </c>
      <c r="F23" s="41" t="s">
        <v>2050</v>
      </c>
      <c r="G23" s="41" t="s">
        <v>2193</v>
      </c>
      <c r="H23" s="41"/>
      <c r="I23" s="41" t="s">
        <v>1650</v>
      </c>
      <c r="J23" s="41" t="s">
        <v>1877</v>
      </c>
      <c r="K23" s="41"/>
      <c r="L23" s="41"/>
      <c r="M23" s="59">
        <v>0.58333333333333337</v>
      </c>
      <c r="N23" s="41">
        <v>10</v>
      </c>
      <c r="O23" s="76">
        <f t="shared" si="0"/>
        <v>17.783333333333339</v>
      </c>
      <c r="P23" s="41"/>
    </row>
    <row r="24" spans="1:17" x14ac:dyDescent="0.25">
      <c r="A24" s="41">
        <v>1</v>
      </c>
      <c r="B24" s="41">
        <v>1096</v>
      </c>
      <c r="C24" s="250">
        <v>44355</v>
      </c>
      <c r="D24" s="41" t="s">
        <v>1797</v>
      </c>
      <c r="E24" s="41" t="s">
        <v>532</v>
      </c>
      <c r="F24" s="41" t="s">
        <v>2050</v>
      </c>
      <c r="G24" s="41" t="s">
        <v>1830</v>
      </c>
      <c r="H24" s="41">
        <v>700</v>
      </c>
      <c r="I24" s="41" t="s">
        <v>1650</v>
      </c>
      <c r="J24" s="41" t="s">
        <v>1877</v>
      </c>
      <c r="K24" s="41"/>
      <c r="L24" s="41">
        <v>2150</v>
      </c>
      <c r="M24" s="59">
        <v>0.51041666666666663</v>
      </c>
      <c r="N24" s="41">
        <v>120</v>
      </c>
      <c r="O24" s="76">
        <f t="shared" si="0"/>
        <v>19.783333333333339</v>
      </c>
      <c r="P24" s="41"/>
      <c r="Q24" s="41" t="s">
        <v>2218</v>
      </c>
    </row>
    <row r="25" spans="1:17" x14ac:dyDescent="0.25">
      <c r="A25" s="41">
        <v>1</v>
      </c>
      <c r="B25" s="41">
        <v>1097</v>
      </c>
      <c r="C25" s="250">
        <v>44357</v>
      </c>
      <c r="D25" s="41" t="s">
        <v>1797</v>
      </c>
      <c r="E25" s="41" t="s">
        <v>532</v>
      </c>
      <c r="F25" s="41" t="s">
        <v>2050</v>
      </c>
      <c r="G25" s="41" t="s">
        <v>2193</v>
      </c>
      <c r="H25" s="41"/>
      <c r="I25" s="41" t="s">
        <v>1650</v>
      </c>
      <c r="J25" s="41" t="s">
        <v>1877</v>
      </c>
      <c r="K25" s="41" t="s">
        <v>2219</v>
      </c>
      <c r="L25" s="41">
        <v>1750</v>
      </c>
      <c r="M25" s="59">
        <v>0.51041666666666663</v>
      </c>
      <c r="N25" s="41">
        <v>195</v>
      </c>
      <c r="O25" s="76">
        <f t="shared" si="0"/>
        <v>23.033333333333339</v>
      </c>
      <c r="P25" s="41"/>
      <c r="Q25" s="41" t="s">
        <v>2220</v>
      </c>
    </row>
    <row r="26" spans="1:17" x14ac:dyDescent="0.25">
      <c r="A26" s="41">
        <v>1</v>
      </c>
      <c r="B26" s="41">
        <v>1098</v>
      </c>
      <c r="C26" s="250">
        <v>44360</v>
      </c>
      <c r="D26" s="41" t="s">
        <v>2154</v>
      </c>
      <c r="E26" s="41" t="s">
        <v>532</v>
      </c>
      <c r="F26" s="41" t="s">
        <v>2050</v>
      </c>
      <c r="G26" s="41" t="s">
        <v>1830</v>
      </c>
      <c r="H26" s="41">
        <v>700</v>
      </c>
      <c r="I26" s="41" t="s">
        <v>1650</v>
      </c>
      <c r="J26" s="41" t="s">
        <v>1877</v>
      </c>
      <c r="K26" s="41"/>
      <c r="L26" s="41">
        <v>2050</v>
      </c>
      <c r="M26" s="59">
        <v>0.54166666666666663</v>
      </c>
      <c r="N26" s="41">
        <v>75</v>
      </c>
      <c r="O26" s="76">
        <f t="shared" si="0"/>
        <v>24.283333333333339</v>
      </c>
      <c r="P26" s="41"/>
      <c r="Q26" s="41" t="s">
        <v>2221</v>
      </c>
    </row>
    <row r="27" spans="1:17" x14ac:dyDescent="0.25">
      <c r="A27" s="41">
        <v>1</v>
      </c>
      <c r="B27" s="41">
        <v>1099</v>
      </c>
      <c r="C27" s="250">
        <v>44361</v>
      </c>
      <c r="D27" s="41" t="s">
        <v>1797</v>
      </c>
      <c r="E27" s="41" t="s">
        <v>532</v>
      </c>
      <c r="F27" s="41" t="s">
        <v>2050</v>
      </c>
      <c r="G27" s="41" t="s">
        <v>2193</v>
      </c>
      <c r="H27" s="41"/>
      <c r="I27" s="41" t="s">
        <v>1650</v>
      </c>
      <c r="J27" s="41" t="s">
        <v>1182</v>
      </c>
      <c r="K27" s="41" t="s">
        <v>2222</v>
      </c>
      <c r="L27" s="41">
        <v>2200</v>
      </c>
      <c r="M27" s="59">
        <v>0.51041666666666663</v>
      </c>
      <c r="N27" s="41">
        <v>175</v>
      </c>
      <c r="O27" s="76">
        <f t="shared" si="0"/>
        <v>27.200000000000006</v>
      </c>
      <c r="P27" s="41">
        <v>45</v>
      </c>
      <c r="Q27" s="41" t="s">
        <v>2223</v>
      </c>
    </row>
    <row r="28" spans="1:17" x14ac:dyDescent="0.25">
      <c r="A28" s="41">
        <v>1</v>
      </c>
      <c r="B28" s="41">
        <v>1100</v>
      </c>
      <c r="C28" s="250">
        <v>44368</v>
      </c>
      <c r="D28" s="41" t="s">
        <v>1797</v>
      </c>
      <c r="E28" s="41" t="s">
        <v>532</v>
      </c>
      <c r="F28" s="41" t="s">
        <v>2050</v>
      </c>
      <c r="G28" s="41"/>
      <c r="H28" s="41"/>
      <c r="I28" s="41" t="s">
        <v>1650</v>
      </c>
      <c r="J28" s="41" t="s">
        <v>1877</v>
      </c>
      <c r="K28" s="41"/>
      <c r="L28" s="41"/>
      <c r="M28" s="59"/>
      <c r="N28" s="41">
        <v>30</v>
      </c>
      <c r="O28" s="76">
        <f t="shared" si="0"/>
        <v>27.700000000000006</v>
      </c>
      <c r="P28" s="41"/>
    </row>
    <row r="29" spans="1:17" x14ac:dyDescent="0.25">
      <c r="A29" s="41">
        <v>1</v>
      </c>
      <c r="B29" s="41">
        <v>1101</v>
      </c>
      <c r="C29" s="250">
        <v>44378</v>
      </c>
      <c r="D29" s="41" t="s">
        <v>1797</v>
      </c>
      <c r="E29" s="41" t="s">
        <v>532</v>
      </c>
      <c r="F29" s="41" t="s">
        <v>2050</v>
      </c>
      <c r="G29" s="41" t="s">
        <v>1830</v>
      </c>
      <c r="H29" s="41">
        <v>700</v>
      </c>
      <c r="I29" s="41" t="s">
        <v>1650</v>
      </c>
      <c r="J29" s="41" t="s">
        <v>1877</v>
      </c>
      <c r="K29" s="41"/>
      <c r="L29" s="41"/>
      <c r="M29" s="59"/>
      <c r="N29" s="41">
        <v>148</v>
      </c>
      <c r="O29" s="76">
        <f t="shared" si="0"/>
        <v>30.166666666666671</v>
      </c>
      <c r="P29" s="41"/>
      <c r="Q29" s="41" t="s">
        <v>2225</v>
      </c>
    </row>
    <row r="30" spans="1:17" x14ac:dyDescent="0.25">
      <c r="A30" s="41">
        <v>1</v>
      </c>
      <c r="B30" s="41">
        <v>1102</v>
      </c>
      <c r="C30" s="250">
        <v>44382</v>
      </c>
      <c r="D30" s="41" t="s">
        <v>1797</v>
      </c>
      <c r="E30" s="41" t="s">
        <v>532</v>
      </c>
      <c r="F30" s="41" t="s">
        <v>2050</v>
      </c>
      <c r="G30" s="41" t="s">
        <v>2193</v>
      </c>
      <c r="H30" s="41"/>
      <c r="I30" s="41" t="s">
        <v>1650</v>
      </c>
      <c r="J30" s="41" t="s">
        <v>1877</v>
      </c>
      <c r="K30" s="41" t="s">
        <v>2226</v>
      </c>
      <c r="L30" s="41">
        <v>1500</v>
      </c>
      <c r="M30" s="59">
        <v>0.50347222222222221</v>
      </c>
      <c r="N30" s="41">
        <v>185</v>
      </c>
      <c r="O30" s="76">
        <f t="shared" si="0"/>
        <v>33.250000000000007</v>
      </c>
      <c r="P30" s="41"/>
      <c r="Q30" s="41" t="s">
        <v>2227</v>
      </c>
    </row>
    <row r="31" spans="1:17" x14ac:dyDescent="0.25">
      <c r="A31" s="41">
        <v>1</v>
      </c>
      <c r="B31" s="41">
        <v>1103</v>
      </c>
      <c r="C31" s="250">
        <v>44394</v>
      </c>
      <c r="D31" s="41" t="s">
        <v>2154</v>
      </c>
      <c r="E31" s="41" t="s">
        <v>532</v>
      </c>
      <c r="F31" s="41" t="s">
        <v>2077</v>
      </c>
      <c r="G31" s="41" t="s">
        <v>1830</v>
      </c>
      <c r="H31" s="41">
        <v>150</v>
      </c>
      <c r="I31" s="41" t="s">
        <v>1650</v>
      </c>
      <c r="J31" s="41" t="s">
        <v>1877</v>
      </c>
      <c r="K31" s="41"/>
      <c r="L31" s="41"/>
      <c r="M31" s="59"/>
      <c r="N31" s="41">
        <v>50</v>
      </c>
      <c r="O31" s="76">
        <f t="shared" si="0"/>
        <v>34.083333333333343</v>
      </c>
      <c r="P31" s="41"/>
      <c r="Q31" s="41" t="s">
        <v>2228</v>
      </c>
    </row>
    <row r="32" spans="1:17" x14ac:dyDescent="0.25">
      <c r="A32" s="41">
        <v>1</v>
      </c>
      <c r="B32" s="41">
        <v>1104</v>
      </c>
      <c r="C32" s="250">
        <v>44396</v>
      </c>
      <c r="D32" s="41" t="s">
        <v>1797</v>
      </c>
      <c r="E32" s="41" t="s">
        <v>532</v>
      </c>
      <c r="F32" s="41" t="s">
        <v>2050</v>
      </c>
      <c r="G32" s="41" t="s">
        <v>2193</v>
      </c>
      <c r="H32" s="41"/>
      <c r="I32" s="41" t="s">
        <v>1650</v>
      </c>
      <c r="J32" s="41" t="s">
        <v>1877</v>
      </c>
      <c r="K32" s="41" t="s">
        <v>2229</v>
      </c>
      <c r="L32" s="41">
        <v>2000</v>
      </c>
      <c r="M32" s="59">
        <v>0.57986111111111105</v>
      </c>
      <c r="N32" s="41">
        <v>126</v>
      </c>
      <c r="O32" s="76">
        <f t="shared" si="0"/>
        <v>36.183333333333344</v>
      </c>
      <c r="P32" s="41"/>
      <c r="Q32" s="41" t="s">
        <v>2230</v>
      </c>
    </row>
    <row r="33" spans="1:17" x14ac:dyDescent="0.25">
      <c r="A33" s="41">
        <v>1</v>
      </c>
      <c r="B33" s="41">
        <v>1105</v>
      </c>
      <c r="C33" s="250">
        <v>44397</v>
      </c>
      <c r="D33" s="41" t="s">
        <v>2154</v>
      </c>
      <c r="E33" s="41" t="s">
        <v>532</v>
      </c>
      <c r="F33" s="41" t="s">
        <v>2050</v>
      </c>
      <c r="G33" s="41" t="s">
        <v>2193</v>
      </c>
      <c r="H33" s="41"/>
      <c r="I33" s="41" t="s">
        <v>1650</v>
      </c>
      <c r="J33" s="41" t="s">
        <v>1877</v>
      </c>
      <c r="K33" s="41"/>
      <c r="L33" s="41"/>
      <c r="M33" s="59"/>
      <c r="N33" s="41">
        <v>60</v>
      </c>
      <c r="O33" s="76">
        <f t="shared" si="0"/>
        <v>37.183333333333344</v>
      </c>
      <c r="P33" s="41"/>
    </row>
    <row r="34" spans="1:17" x14ac:dyDescent="0.25">
      <c r="A34" s="41">
        <v>1</v>
      </c>
      <c r="B34" s="41">
        <v>1106</v>
      </c>
      <c r="C34" s="250">
        <v>44398</v>
      </c>
      <c r="D34" s="41" t="s">
        <v>1797</v>
      </c>
      <c r="E34" s="41" t="s">
        <v>532</v>
      </c>
      <c r="F34" s="41" t="s">
        <v>2050</v>
      </c>
      <c r="G34" s="41" t="s">
        <v>1830</v>
      </c>
      <c r="H34" s="41">
        <v>700</v>
      </c>
      <c r="I34" s="41" t="s">
        <v>1650</v>
      </c>
      <c r="J34" s="41" t="s">
        <v>1877</v>
      </c>
      <c r="K34" s="41"/>
      <c r="L34" s="41"/>
      <c r="M34" s="59"/>
      <c r="N34" s="41">
        <v>105</v>
      </c>
      <c r="O34" s="76">
        <f t="shared" si="0"/>
        <v>38.933333333333344</v>
      </c>
      <c r="P34" s="41"/>
    </row>
    <row r="35" spans="1:17" x14ac:dyDescent="0.25">
      <c r="A35" s="41">
        <v>1</v>
      </c>
      <c r="B35" s="41">
        <v>1107</v>
      </c>
      <c r="C35" s="250">
        <v>44417</v>
      </c>
      <c r="D35" s="41" t="s">
        <v>1797</v>
      </c>
      <c r="E35" s="41" t="s">
        <v>532</v>
      </c>
      <c r="F35" s="41" t="s">
        <v>2050</v>
      </c>
      <c r="G35" s="41" t="s">
        <v>2193</v>
      </c>
      <c r="H35" s="41"/>
      <c r="I35" s="41" t="s">
        <v>1650</v>
      </c>
      <c r="J35" s="41" t="s">
        <v>1877</v>
      </c>
      <c r="K35" s="41"/>
      <c r="L35" s="41"/>
      <c r="M35" s="59"/>
      <c r="N35" s="41">
        <v>155</v>
      </c>
      <c r="O35" s="76">
        <f t="shared" si="0"/>
        <v>41.51666666666668</v>
      </c>
      <c r="P35" s="41"/>
    </row>
    <row r="36" spans="1:17" x14ac:dyDescent="0.25">
      <c r="A36" s="41">
        <v>1</v>
      </c>
      <c r="B36" s="41">
        <v>1108</v>
      </c>
      <c r="C36" s="250">
        <v>44418</v>
      </c>
      <c r="D36" s="41" t="s">
        <v>1797</v>
      </c>
      <c r="E36" s="41" t="s">
        <v>532</v>
      </c>
      <c r="F36" s="41" t="s">
        <v>1836</v>
      </c>
      <c r="G36" s="41" t="s">
        <v>1830</v>
      </c>
      <c r="H36" s="41">
        <v>400</v>
      </c>
      <c r="I36" s="41" t="s">
        <v>1650</v>
      </c>
      <c r="J36" s="41" t="s">
        <v>1877</v>
      </c>
      <c r="K36" s="41"/>
      <c r="L36" s="41"/>
      <c r="M36" s="59"/>
      <c r="N36" s="41">
        <v>78</v>
      </c>
      <c r="O36" s="76">
        <f t="shared" si="0"/>
        <v>42.816666666666677</v>
      </c>
      <c r="P36" s="41"/>
    </row>
    <row r="37" spans="1:17" x14ac:dyDescent="0.25">
      <c r="A37" s="41">
        <v>1</v>
      </c>
      <c r="B37" s="41">
        <v>1109</v>
      </c>
      <c r="C37" s="250">
        <v>44428</v>
      </c>
      <c r="D37" s="41" t="s">
        <v>1797</v>
      </c>
      <c r="E37" s="41" t="s">
        <v>532</v>
      </c>
      <c r="F37" s="41" t="s">
        <v>2050</v>
      </c>
      <c r="G37" s="41" t="s">
        <v>2193</v>
      </c>
      <c r="H37" s="41"/>
      <c r="I37" s="41"/>
      <c r="J37" s="41"/>
      <c r="K37" s="41"/>
      <c r="L37" s="41"/>
      <c r="M37" s="59"/>
      <c r="N37" s="41">
        <v>21</v>
      </c>
      <c r="O37" s="76">
        <f t="shared" si="0"/>
        <v>43.166666666666679</v>
      </c>
      <c r="P37" s="41"/>
    </row>
    <row r="38" spans="1:17" x14ac:dyDescent="0.25">
      <c r="A38" s="41">
        <v>1</v>
      </c>
      <c r="B38" s="41">
        <v>1110</v>
      </c>
      <c r="C38" s="250">
        <v>44432</v>
      </c>
      <c r="D38" s="41" t="s">
        <v>1797</v>
      </c>
      <c r="E38" s="41" t="s">
        <v>532</v>
      </c>
      <c r="F38" s="41" t="s">
        <v>1836</v>
      </c>
      <c r="G38" s="41" t="s">
        <v>1830</v>
      </c>
      <c r="H38" s="41">
        <v>700</v>
      </c>
      <c r="I38" s="41" t="s">
        <v>2231</v>
      </c>
      <c r="J38" s="41" t="s">
        <v>1182</v>
      </c>
      <c r="K38" s="41" t="s">
        <v>2232</v>
      </c>
      <c r="L38" s="41">
        <v>2000</v>
      </c>
      <c r="M38" s="59">
        <v>0.54166666666666663</v>
      </c>
      <c r="N38" s="41">
        <v>71</v>
      </c>
      <c r="O38" s="76">
        <f t="shared" si="0"/>
        <v>44.350000000000009</v>
      </c>
      <c r="P38" s="41">
        <v>18</v>
      </c>
      <c r="Q38" s="41" t="s">
        <v>2233</v>
      </c>
    </row>
    <row r="39" spans="1:17" x14ac:dyDescent="0.25">
      <c r="A39" s="41">
        <v>1</v>
      </c>
      <c r="B39" s="41">
        <v>1111</v>
      </c>
      <c r="C39" s="250">
        <v>44433</v>
      </c>
      <c r="D39" s="41" t="s">
        <v>1797</v>
      </c>
      <c r="E39" s="41" t="s">
        <v>532</v>
      </c>
      <c r="F39" s="41" t="s">
        <v>2050</v>
      </c>
      <c r="G39" s="41" t="s">
        <v>2193</v>
      </c>
      <c r="H39" s="41"/>
      <c r="I39" s="41" t="s">
        <v>1650</v>
      </c>
      <c r="J39" s="41" t="s">
        <v>1877</v>
      </c>
      <c r="K39" s="41" t="s">
        <v>2234</v>
      </c>
      <c r="L39" s="41">
        <v>1720</v>
      </c>
      <c r="M39" s="59">
        <v>0.51736111111111105</v>
      </c>
      <c r="N39" s="41">
        <v>215</v>
      </c>
      <c r="O39" s="76">
        <f t="shared" si="0"/>
        <v>47.933333333333344</v>
      </c>
      <c r="P39" s="41"/>
      <c r="Q39" s="41" t="s">
        <v>2235</v>
      </c>
    </row>
    <row r="40" spans="1:17" ht="61.8" x14ac:dyDescent="0.25">
      <c r="A40" s="41">
        <v>5</v>
      </c>
      <c r="B40" s="41">
        <v>1116</v>
      </c>
      <c r="C40" s="250">
        <v>44443</v>
      </c>
      <c r="D40" s="41" t="s">
        <v>2154</v>
      </c>
      <c r="E40" s="41" t="s">
        <v>532</v>
      </c>
      <c r="F40" s="41" t="s">
        <v>2050</v>
      </c>
      <c r="G40" s="41" t="s">
        <v>2193</v>
      </c>
      <c r="H40" s="41"/>
      <c r="I40" s="41" t="s">
        <v>1650</v>
      </c>
      <c r="J40" s="41" t="s">
        <v>1877</v>
      </c>
      <c r="K40" s="41"/>
      <c r="L40" s="41"/>
      <c r="M40" s="59"/>
      <c r="N40" s="41">
        <v>50</v>
      </c>
      <c r="O40" s="76">
        <f t="shared" si="0"/>
        <v>48.76666666666668</v>
      </c>
      <c r="P40" s="41"/>
      <c r="Q40" s="43" t="s">
        <v>2236</v>
      </c>
    </row>
    <row r="41" spans="1:17" ht="61.8" x14ac:dyDescent="0.25">
      <c r="A41" s="41">
        <v>6</v>
      </c>
      <c r="B41" s="41">
        <v>1122</v>
      </c>
      <c r="C41" s="250">
        <v>44444</v>
      </c>
      <c r="D41" s="41" t="s">
        <v>2154</v>
      </c>
      <c r="E41" s="41" t="s">
        <v>532</v>
      </c>
      <c r="F41" s="41" t="s">
        <v>2050</v>
      </c>
      <c r="G41" s="41" t="s">
        <v>2193</v>
      </c>
      <c r="H41" s="41"/>
      <c r="I41" s="41" t="s">
        <v>1650</v>
      </c>
      <c r="J41" s="41" t="s">
        <v>1877</v>
      </c>
      <c r="K41" s="41"/>
      <c r="L41" s="41"/>
      <c r="M41" s="59"/>
      <c r="N41" s="41">
        <v>60</v>
      </c>
      <c r="O41" s="76">
        <f t="shared" si="0"/>
        <v>49.76666666666668</v>
      </c>
      <c r="P41" s="41"/>
      <c r="Q41" s="43" t="s">
        <v>2237</v>
      </c>
    </row>
    <row r="42" spans="1:17" x14ac:dyDescent="0.25">
      <c r="A42" s="41">
        <v>1</v>
      </c>
      <c r="B42" s="41">
        <v>1123</v>
      </c>
      <c r="C42" s="250">
        <v>44451</v>
      </c>
      <c r="D42" s="41" t="s">
        <v>1797</v>
      </c>
      <c r="E42" s="41" t="s">
        <v>532</v>
      </c>
      <c r="F42" s="41" t="s">
        <v>2050</v>
      </c>
      <c r="G42" s="41" t="s">
        <v>2193</v>
      </c>
      <c r="H42" s="41"/>
      <c r="I42" s="41" t="s">
        <v>1650</v>
      </c>
      <c r="J42" s="41" t="s">
        <v>1877</v>
      </c>
      <c r="K42" s="41"/>
      <c r="L42" s="41"/>
      <c r="M42" s="59"/>
      <c r="N42" s="41">
        <v>130</v>
      </c>
      <c r="O42" s="76">
        <f t="shared" si="0"/>
        <v>51.933333333333344</v>
      </c>
      <c r="P42" s="41"/>
    </row>
    <row r="43" spans="1:17" x14ac:dyDescent="0.25">
      <c r="A43" s="41">
        <v>1</v>
      </c>
      <c r="B43" s="41">
        <v>1124</v>
      </c>
      <c r="C43" s="250">
        <v>44456</v>
      </c>
      <c r="D43" s="41" t="s">
        <v>1797</v>
      </c>
      <c r="E43" s="41" t="s">
        <v>532</v>
      </c>
      <c r="F43" s="41" t="s">
        <v>2050</v>
      </c>
      <c r="G43" s="41" t="s">
        <v>1830</v>
      </c>
      <c r="H43" s="41">
        <v>700</v>
      </c>
      <c r="I43" s="41" t="s">
        <v>1650</v>
      </c>
      <c r="J43" s="41" t="s">
        <v>1877</v>
      </c>
      <c r="K43" s="41"/>
      <c r="L43" s="41"/>
      <c r="M43" s="59"/>
      <c r="N43" s="41">
        <v>112</v>
      </c>
      <c r="O43" s="76">
        <f t="shared" si="0"/>
        <v>53.800000000000011</v>
      </c>
      <c r="P43" s="41"/>
    </row>
    <row r="44" spans="1:17" x14ac:dyDescent="0.25">
      <c r="A44" s="41">
        <v>1</v>
      </c>
      <c r="B44" s="41">
        <v>1125</v>
      </c>
      <c r="C44" s="250">
        <v>44470</v>
      </c>
      <c r="D44" s="41" t="s">
        <v>1797</v>
      </c>
      <c r="E44" s="41" t="s">
        <v>532</v>
      </c>
      <c r="F44" s="41" t="s">
        <v>2050</v>
      </c>
      <c r="G44" s="41" t="s">
        <v>2193</v>
      </c>
      <c r="H44" s="41"/>
      <c r="I44" s="41" t="s">
        <v>1650</v>
      </c>
      <c r="J44" s="41" t="s">
        <v>1877</v>
      </c>
      <c r="K44" s="41"/>
      <c r="L44" s="41"/>
      <c r="M44" s="59"/>
      <c r="N44" s="41">
        <v>10</v>
      </c>
      <c r="O44" s="76">
        <f t="shared" si="0"/>
        <v>53.966666666666676</v>
      </c>
      <c r="P44" s="41"/>
    </row>
    <row r="45" spans="1:17" x14ac:dyDescent="0.25">
      <c r="A45" s="41">
        <v>1</v>
      </c>
      <c r="B45" s="41">
        <v>1126</v>
      </c>
      <c r="C45" s="250">
        <v>44470</v>
      </c>
      <c r="D45" s="41" t="s">
        <v>1797</v>
      </c>
      <c r="E45" s="41" t="s">
        <v>532</v>
      </c>
      <c r="F45" s="41" t="s">
        <v>2050</v>
      </c>
      <c r="G45" s="41" t="s">
        <v>1830</v>
      </c>
      <c r="H45" s="41">
        <v>700</v>
      </c>
      <c r="I45" s="41" t="s">
        <v>1650</v>
      </c>
      <c r="J45" s="41" t="s">
        <v>1877</v>
      </c>
      <c r="K45" s="41"/>
      <c r="L45" s="41"/>
      <c r="M45" s="59"/>
      <c r="N45" s="41">
        <v>10</v>
      </c>
      <c r="O45" s="76">
        <f t="shared" si="0"/>
        <v>54.13333333333334</v>
      </c>
      <c r="P45" s="41"/>
    </row>
    <row r="46" spans="1:17" x14ac:dyDescent="0.25">
      <c r="A46" s="41">
        <v>1</v>
      </c>
      <c r="B46" s="41">
        <v>1127</v>
      </c>
      <c r="C46" s="250">
        <v>44481</v>
      </c>
      <c r="D46" s="41" t="s">
        <v>1797</v>
      </c>
      <c r="E46" s="41" t="s">
        <v>532</v>
      </c>
      <c r="F46" s="41" t="s">
        <v>2050</v>
      </c>
      <c r="G46" s="41" t="s">
        <v>1830</v>
      </c>
      <c r="H46" s="41">
        <v>800</v>
      </c>
      <c r="I46" s="41" t="s">
        <v>1650</v>
      </c>
      <c r="J46" s="41" t="s">
        <v>1877</v>
      </c>
      <c r="K46" s="41"/>
      <c r="L46" s="41"/>
      <c r="M46" s="59"/>
      <c r="N46" s="41">
        <v>47</v>
      </c>
      <c r="O46" s="76">
        <f t="shared" si="0"/>
        <v>54.916666666666671</v>
      </c>
      <c r="P46" s="41"/>
    </row>
    <row r="47" spans="1:17" x14ac:dyDescent="0.25">
      <c r="A47" s="41">
        <v>1</v>
      </c>
      <c r="B47" s="41">
        <v>1128</v>
      </c>
      <c r="C47" s="250">
        <v>44482</v>
      </c>
      <c r="D47" s="41" t="s">
        <v>1797</v>
      </c>
      <c r="E47" s="41" t="s">
        <v>532</v>
      </c>
      <c r="F47" s="41" t="s">
        <v>2050</v>
      </c>
      <c r="G47" s="41" t="s">
        <v>2193</v>
      </c>
      <c r="H47" s="41"/>
      <c r="I47" s="41" t="s">
        <v>1650</v>
      </c>
      <c r="J47" s="41" t="s">
        <v>1877</v>
      </c>
      <c r="K47" s="41"/>
      <c r="L47" s="41"/>
      <c r="M47" s="59"/>
      <c r="N47" s="41">
        <v>34</v>
      </c>
      <c r="O47" s="76">
        <f t="shared" si="0"/>
        <v>55.483333333333341</v>
      </c>
      <c r="P47" s="41"/>
    </row>
    <row r="48" spans="1:17" x14ac:dyDescent="0.25">
      <c r="A48" s="41"/>
      <c r="B48" s="41"/>
      <c r="C48" s="250"/>
      <c r="D48" s="41"/>
      <c r="E48" s="41"/>
      <c r="F48" s="41"/>
      <c r="G48" s="41"/>
      <c r="H48" s="41"/>
      <c r="I48" s="41"/>
      <c r="J48" s="41"/>
      <c r="K48" s="41"/>
      <c r="L48" s="41"/>
      <c r="M48" s="59"/>
      <c r="N48" s="41"/>
      <c r="O48" s="76"/>
      <c r="P48" s="41"/>
    </row>
    <row r="49" spans="1:16" x14ac:dyDescent="0.25">
      <c r="A49" s="41"/>
      <c r="B49" s="41"/>
      <c r="C49" s="250"/>
      <c r="D49" s="41"/>
      <c r="E49" s="41"/>
      <c r="F49" s="41"/>
      <c r="G49" s="41"/>
      <c r="H49" s="41"/>
      <c r="I49" s="41"/>
      <c r="J49" s="41"/>
      <c r="K49" s="41"/>
      <c r="L49" s="41"/>
      <c r="M49" s="59"/>
      <c r="N49" s="41"/>
      <c r="O49" s="76"/>
      <c r="P49" s="41"/>
    </row>
    <row r="50" spans="1:16" x14ac:dyDescent="0.25">
      <c r="A50" s="41"/>
      <c r="B50" s="41"/>
      <c r="C50" s="250"/>
      <c r="D50" s="41"/>
      <c r="E50" s="41"/>
      <c r="F50" s="41"/>
      <c r="G50" s="41"/>
      <c r="H50" s="41"/>
      <c r="I50" s="41"/>
      <c r="J50" s="41"/>
      <c r="K50" s="41"/>
      <c r="L50" s="41"/>
      <c r="M50" s="59"/>
      <c r="N50" s="41"/>
      <c r="O50" s="76"/>
      <c r="P50" s="41"/>
    </row>
  </sheetData>
  <autoFilter ref="A1:Q49"/>
  <pageMargins left="0.7" right="0.7" top="0.75" bottom="0.75" header="0.3" footer="0.3"/>
  <pageSetup paperSize="9" orientation="portrait" horizontalDpi="0"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66"/>
  <sheetViews>
    <sheetView topLeftCell="B1" workbookViewId="0">
      <pane ySplit="1" topLeftCell="A2" activePane="bottomLeft" state="frozen"/>
      <selection activeCell="B1" sqref="B1"/>
      <selection pane="bottomLeft" activeCell="N66" sqref="N2:N66"/>
    </sheetView>
  </sheetViews>
  <sheetFormatPr baseColWidth="10" defaultRowHeight="13.2" x14ac:dyDescent="0.25"/>
  <cols>
    <col min="17" max="17" width="33.21875" style="41" customWidth="1"/>
  </cols>
  <sheetData>
    <row r="1" spans="1:17" x14ac:dyDescent="0.25">
      <c r="A1" s="244" t="s">
        <v>1178</v>
      </c>
      <c r="B1" s="244" t="s">
        <v>1164</v>
      </c>
      <c r="C1" s="249" t="s">
        <v>1165</v>
      </c>
      <c r="D1" s="244" t="s">
        <v>1166</v>
      </c>
      <c r="E1" s="244" t="s">
        <v>1167</v>
      </c>
      <c r="F1" s="244" t="s">
        <v>530</v>
      </c>
      <c r="G1" s="244" t="s">
        <v>1989</v>
      </c>
      <c r="H1" s="244" t="s">
        <v>1180</v>
      </c>
      <c r="I1" s="244" t="s">
        <v>531</v>
      </c>
      <c r="J1" s="244" t="s">
        <v>1829</v>
      </c>
      <c r="K1" s="244" t="s">
        <v>1177</v>
      </c>
      <c r="L1" s="244" t="s">
        <v>1173</v>
      </c>
      <c r="M1" s="246" t="s">
        <v>411</v>
      </c>
      <c r="N1" s="244" t="s">
        <v>1175</v>
      </c>
      <c r="O1" s="247" t="s">
        <v>321</v>
      </c>
      <c r="P1" s="244" t="s">
        <v>1179</v>
      </c>
      <c r="Q1" s="244" t="s">
        <v>2116</v>
      </c>
    </row>
    <row r="2" spans="1:17" x14ac:dyDescent="0.25">
      <c r="A2" s="41">
        <v>1</v>
      </c>
      <c r="B2" s="41"/>
      <c r="C2" s="250">
        <v>43849</v>
      </c>
      <c r="D2" s="41" t="s">
        <v>1797</v>
      </c>
      <c r="E2" s="41"/>
      <c r="F2" s="41" t="s">
        <v>309</v>
      </c>
      <c r="G2" s="41"/>
      <c r="H2" s="41"/>
      <c r="I2" s="41"/>
      <c r="J2" s="41" t="s">
        <v>343</v>
      </c>
      <c r="K2" s="41" t="s">
        <v>2107</v>
      </c>
      <c r="L2" s="41"/>
      <c r="M2" s="59"/>
      <c r="N2" s="41"/>
      <c r="O2" s="76"/>
      <c r="P2" s="41"/>
      <c r="Q2" s="41">
        <v>30</v>
      </c>
    </row>
    <row r="3" spans="1:17" x14ac:dyDescent="0.25">
      <c r="A3" s="41">
        <v>1</v>
      </c>
      <c r="B3" s="41">
        <v>1012</v>
      </c>
      <c r="C3" s="250">
        <v>43853</v>
      </c>
      <c r="D3" s="41" t="s">
        <v>1797</v>
      </c>
      <c r="E3" s="41" t="s">
        <v>532</v>
      </c>
      <c r="F3" s="41" t="s">
        <v>1836</v>
      </c>
      <c r="G3" s="41" t="s">
        <v>1830</v>
      </c>
      <c r="H3" s="41">
        <v>1100</v>
      </c>
      <c r="I3" s="41" t="s">
        <v>1650</v>
      </c>
      <c r="J3" s="41" t="s">
        <v>1877</v>
      </c>
      <c r="K3" s="41" t="s">
        <v>2114</v>
      </c>
      <c r="L3" s="41">
        <v>1700</v>
      </c>
      <c r="M3" s="59" t="s">
        <v>1834</v>
      </c>
      <c r="N3" s="41">
        <v>62</v>
      </c>
      <c r="O3" s="76">
        <f>(O2+N3/60)</f>
        <v>1.0333333333333334</v>
      </c>
      <c r="P3" s="41"/>
    </row>
    <row r="4" spans="1:17" x14ac:dyDescent="0.25">
      <c r="A4" s="41">
        <v>1</v>
      </c>
      <c r="B4" s="41">
        <v>1013</v>
      </c>
      <c r="C4" s="250">
        <v>43864</v>
      </c>
      <c r="D4" s="41" t="s">
        <v>1797</v>
      </c>
      <c r="E4" s="41" t="s">
        <v>532</v>
      </c>
      <c r="F4" s="41" t="s">
        <v>2077</v>
      </c>
      <c r="G4" s="41" t="s">
        <v>1830</v>
      </c>
      <c r="H4" s="41">
        <v>250</v>
      </c>
      <c r="I4" s="41" t="s">
        <v>1650</v>
      </c>
      <c r="J4" s="41" t="s">
        <v>1877</v>
      </c>
      <c r="K4" s="41"/>
      <c r="L4" s="41">
        <v>1400</v>
      </c>
      <c r="M4" s="59" t="s">
        <v>2115</v>
      </c>
      <c r="N4" s="41">
        <v>105</v>
      </c>
      <c r="O4" s="76">
        <f t="shared" ref="O4:O66" si="0">(O3+N4/60)</f>
        <v>2.7833333333333332</v>
      </c>
      <c r="P4" s="41"/>
      <c r="Q4" s="41" t="s">
        <v>2117</v>
      </c>
    </row>
    <row r="5" spans="1:17" x14ac:dyDescent="0.25">
      <c r="A5" s="41">
        <v>1</v>
      </c>
      <c r="B5" s="41">
        <v>1014</v>
      </c>
      <c r="C5" s="250">
        <v>43866</v>
      </c>
      <c r="D5" s="41" t="s">
        <v>1797</v>
      </c>
      <c r="E5" s="41" t="s">
        <v>532</v>
      </c>
      <c r="F5" s="41" t="s">
        <v>2050</v>
      </c>
      <c r="G5" s="41"/>
      <c r="H5" s="41"/>
      <c r="I5" s="41" t="s">
        <v>1650</v>
      </c>
      <c r="J5" s="41" t="s">
        <v>1877</v>
      </c>
      <c r="K5" s="41"/>
      <c r="L5" s="41"/>
      <c r="M5" s="59"/>
      <c r="N5" s="41">
        <v>210</v>
      </c>
      <c r="O5" s="76">
        <f t="shared" si="0"/>
        <v>6.2833333333333332</v>
      </c>
      <c r="P5" s="41"/>
    </row>
    <row r="6" spans="1:17" x14ac:dyDescent="0.25">
      <c r="A6" s="41">
        <v>1</v>
      </c>
      <c r="B6" s="41">
        <v>1015</v>
      </c>
      <c r="C6" s="250">
        <v>43867</v>
      </c>
      <c r="D6" s="41" t="s">
        <v>1797</v>
      </c>
      <c r="E6" s="41" t="s">
        <v>532</v>
      </c>
      <c r="F6" s="41" t="s">
        <v>2077</v>
      </c>
      <c r="G6" s="41" t="s">
        <v>1830</v>
      </c>
      <c r="H6" s="41">
        <v>1300</v>
      </c>
      <c r="I6" s="41" t="s">
        <v>1650</v>
      </c>
      <c r="J6" s="41" t="s">
        <v>1877</v>
      </c>
      <c r="K6" s="41"/>
      <c r="L6" s="41"/>
      <c r="M6" s="59"/>
      <c r="N6" s="41">
        <v>12</v>
      </c>
      <c r="O6" s="76">
        <f t="shared" si="0"/>
        <v>6.4833333333333334</v>
      </c>
      <c r="P6" s="41"/>
    </row>
    <row r="7" spans="1:17" x14ac:dyDescent="0.25">
      <c r="A7" s="41">
        <v>1</v>
      </c>
      <c r="B7" s="41">
        <v>1016</v>
      </c>
      <c r="C7" s="250">
        <v>43885</v>
      </c>
      <c r="D7" s="41" t="s">
        <v>1797</v>
      </c>
      <c r="E7" s="41" t="s">
        <v>532</v>
      </c>
      <c r="F7" s="41" t="s">
        <v>2050</v>
      </c>
      <c r="G7" s="41"/>
      <c r="H7" s="41"/>
      <c r="I7" s="41" t="s">
        <v>1650</v>
      </c>
      <c r="J7" s="41" t="s">
        <v>1877</v>
      </c>
      <c r="K7" s="41"/>
      <c r="L7" s="41"/>
      <c r="M7" s="59"/>
      <c r="N7" s="41">
        <v>9</v>
      </c>
      <c r="O7" s="76">
        <f t="shared" si="0"/>
        <v>6.6333333333333337</v>
      </c>
      <c r="P7" s="41"/>
    </row>
    <row r="8" spans="1:17" x14ac:dyDescent="0.25">
      <c r="A8" s="41">
        <v>1</v>
      </c>
      <c r="B8" s="41">
        <v>1017</v>
      </c>
      <c r="C8" s="250">
        <v>43885</v>
      </c>
      <c r="D8" s="41" t="s">
        <v>1797</v>
      </c>
      <c r="E8" s="41" t="s">
        <v>532</v>
      </c>
      <c r="F8" s="41" t="s">
        <v>2050</v>
      </c>
      <c r="G8" s="41"/>
      <c r="H8" s="41"/>
      <c r="I8" s="41" t="s">
        <v>1650</v>
      </c>
      <c r="J8" s="41" t="s">
        <v>1877</v>
      </c>
      <c r="K8" s="41"/>
      <c r="L8" s="41"/>
      <c r="M8" s="59"/>
      <c r="N8" s="41">
        <v>30</v>
      </c>
      <c r="O8" s="76">
        <f t="shared" si="0"/>
        <v>7.1333333333333337</v>
      </c>
      <c r="P8" s="41"/>
    </row>
    <row r="9" spans="1:17" x14ac:dyDescent="0.25">
      <c r="A9" s="41">
        <v>1</v>
      </c>
      <c r="B9" s="41"/>
      <c r="C9" s="250">
        <v>43897</v>
      </c>
      <c r="D9" s="41" t="s">
        <v>1797</v>
      </c>
      <c r="E9" s="41"/>
      <c r="F9" s="41" t="s">
        <v>309</v>
      </c>
      <c r="G9" s="41"/>
      <c r="H9" s="41"/>
      <c r="I9" s="41"/>
      <c r="J9" s="41" t="s">
        <v>343</v>
      </c>
      <c r="K9" s="41" t="s">
        <v>2118</v>
      </c>
      <c r="L9" s="41"/>
      <c r="M9" s="59"/>
      <c r="N9" s="41"/>
      <c r="O9" s="76">
        <f t="shared" si="0"/>
        <v>7.1333333333333337</v>
      </c>
      <c r="P9" s="41"/>
      <c r="Q9" s="41">
        <v>90</v>
      </c>
    </row>
    <row r="10" spans="1:17" x14ac:dyDescent="0.25">
      <c r="A10" s="41">
        <v>1</v>
      </c>
      <c r="B10" s="41">
        <v>1018</v>
      </c>
      <c r="C10" s="250">
        <v>43905</v>
      </c>
      <c r="D10" s="41" t="s">
        <v>1797</v>
      </c>
      <c r="E10" s="41" t="s">
        <v>532</v>
      </c>
      <c r="F10" s="41" t="s">
        <v>2050</v>
      </c>
      <c r="G10" s="41"/>
      <c r="H10" s="41">
        <v>700</v>
      </c>
      <c r="I10" s="41" t="s">
        <v>1650</v>
      </c>
      <c r="J10" s="41" t="s">
        <v>1877</v>
      </c>
      <c r="K10" s="41"/>
      <c r="L10" s="41"/>
      <c r="M10" s="59"/>
      <c r="N10" s="41">
        <v>13</v>
      </c>
      <c r="O10" s="76">
        <f t="shared" si="0"/>
        <v>7.3500000000000005</v>
      </c>
      <c r="P10" s="41"/>
      <c r="Q10" s="41" t="s">
        <v>2120</v>
      </c>
    </row>
    <row r="11" spans="1:17" x14ac:dyDescent="0.25">
      <c r="A11" s="41">
        <v>1</v>
      </c>
      <c r="B11" s="41">
        <v>1019</v>
      </c>
      <c r="C11" s="250">
        <v>43905</v>
      </c>
      <c r="D11" s="41" t="s">
        <v>1797</v>
      </c>
      <c r="E11" s="41" t="s">
        <v>532</v>
      </c>
      <c r="F11" s="41" t="s">
        <v>2050</v>
      </c>
      <c r="G11" s="41"/>
      <c r="H11" s="41"/>
      <c r="I11" s="41" t="s">
        <v>1650</v>
      </c>
      <c r="J11" s="41" t="s">
        <v>1877</v>
      </c>
      <c r="K11" s="41"/>
      <c r="L11" s="41"/>
      <c r="M11" s="59"/>
      <c r="N11" s="41">
        <v>66</v>
      </c>
      <c r="O11" s="76">
        <f t="shared" si="0"/>
        <v>8.4500000000000011</v>
      </c>
      <c r="P11" s="41"/>
      <c r="Q11" s="41" t="s">
        <v>2119</v>
      </c>
    </row>
    <row r="12" spans="1:17" x14ac:dyDescent="0.25">
      <c r="A12" s="41">
        <v>1</v>
      </c>
      <c r="B12" s="41">
        <v>1020</v>
      </c>
      <c r="C12" s="250">
        <v>43969</v>
      </c>
      <c r="D12" s="41" t="s">
        <v>1797</v>
      </c>
      <c r="E12" s="41" t="s">
        <v>532</v>
      </c>
      <c r="F12" s="41" t="s">
        <v>2050</v>
      </c>
      <c r="H12" s="41">
        <v>700</v>
      </c>
      <c r="I12" s="41" t="s">
        <v>1650</v>
      </c>
      <c r="J12" s="41" t="s">
        <v>1877</v>
      </c>
      <c r="K12" s="41"/>
      <c r="L12" s="41"/>
      <c r="M12" s="59"/>
      <c r="N12" s="41">
        <v>105</v>
      </c>
      <c r="O12" s="76">
        <f t="shared" si="0"/>
        <v>10.200000000000001</v>
      </c>
      <c r="P12" s="41"/>
    </row>
    <row r="13" spans="1:17" x14ac:dyDescent="0.25">
      <c r="A13" s="41">
        <v>1</v>
      </c>
      <c r="B13" s="41">
        <v>1021</v>
      </c>
      <c r="C13" s="250">
        <v>43971</v>
      </c>
      <c r="D13" s="41" t="s">
        <v>1797</v>
      </c>
      <c r="E13" s="41" t="s">
        <v>532</v>
      </c>
      <c r="F13" s="41" t="s">
        <v>2050</v>
      </c>
      <c r="H13" s="41">
        <v>700</v>
      </c>
      <c r="I13" s="41" t="s">
        <v>1650</v>
      </c>
      <c r="J13" s="41" t="s">
        <v>1877</v>
      </c>
      <c r="K13" s="41"/>
      <c r="L13" s="41"/>
      <c r="M13" s="59"/>
      <c r="N13" s="41">
        <v>31</v>
      </c>
      <c r="O13" s="76">
        <f t="shared" si="0"/>
        <v>10.716666666666669</v>
      </c>
      <c r="P13" s="41"/>
      <c r="Q13" s="41" t="s">
        <v>2133</v>
      </c>
    </row>
    <row r="14" spans="1:17" x14ac:dyDescent="0.25">
      <c r="A14" s="41">
        <v>1</v>
      </c>
      <c r="B14" s="41">
        <v>1022</v>
      </c>
      <c r="C14" s="250">
        <v>43971</v>
      </c>
      <c r="D14" s="41" t="s">
        <v>1797</v>
      </c>
      <c r="E14" s="41" t="s">
        <v>532</v>
      </c>
      <c r="F14" s="41" t="s">
        <v>2050</v>
      </c>
      <c r="H14" s="41"/>
      <c r="I14" s="41" t="s">
        <v>1650</v>
      </c>
      <c r="J14" s="41" t="s">
        <v>1877</v>
      </c>
      <c r="K14" s="41"/>
      <c r="L14" s="41"/>
      <c r="M14" s="59"/>
      <c r="N14" s="41">
        <v>11</v>
      </c>
      <c r="O14" s="76">
        <f t="shared" si="0"/>
        <v>10.900000000000002</v>
      </c>
      <c r="P14" s="41"/>
      <c r="Q14" s="41" t="s">
        <v>2134</v>
      </c>
    </row>
    <row r="15" spans="1:17" x14ac:dyDescent="0.25">
      <c r="A15" s="41">
        <v>1</v>
      </c>
      <c r="B15" s="41">
        <v>1023</v>
      </c>
      <c r="C15" s="250">
        <v>43972</v>
      </c>
      <c r="D15" s="41" t="s">
        <v>1797</v>
      </c>
      <c r="E15" s="41" t="s">
        <v>532</v>
      </c>
      <c r="F15" s="41" t="s">
        <v>1836</v>
      </c>
      <c r="H15" s="41">
        <v>1100</v>
      </c>
      <c r="I15" s="41" t="s">
        <v>1650</v>
      </c>
      <c r="J15" s="41" t="s">
        <v>1877</v>
      </c>
      <c r="K15" s="41"/>
      <c r="L15" s="41"/>
      <c r="M15" s="59"/>
      <c r="N15" s="41">
        <v>74</v>
      </c>
      <c r="O15" s="76">
        <f t="shared" si="0"/>
        <v>12.133333333333336</v>
      </c>
      <c r="P15" s="41"/>
      <c r="Q15" s="41" t="s">
        <v>2135</v>
      </c>
    </row>
    <row r="16" spans="1:17" x14ac:dyDescent="0.25">
      <c r="A16" s="41">
        <v>1</v>
      </c>
      <c r="B16" s="41">
        <v>1024</v>
      </c>
      <c r="C16" s="250">
        <v>43972</v>
      </c>
      <c r="D16" s="41" t="s">
        <v>1797</v>
      </c>
      <c r="E16" s="41" t="s">
        <v>532</v>
      </c>
      <c r="F16" s="41" t="s">
        <v>2077</v>
      </c>
      <c r="H16" s="41">
        <v>800</v>
      </c>
      <c r="I16" s="41" t="s">
        <v>1650</v>
      </c>
      <c r="J16" s="41" t="s">
        <v>1877</v>
      </c>
      <c r="K16" s="41"/>
      <c r="L16" s="41"/>
      <c r="M16" s="59"/>
      <c r="N16" s="41">
        <v>56</v>
      </c>
      <c r="O16" s="76">
        <f t="shared" si="0"/>
        <v>13.06666666666667</v>
      </c>
      <c r="P16" s="41"/>
      <c r="Q16" s="41" t="s">
        <v>2136</v>
      </c>
    </row>
    <row r="17" spans="1:17" x14ac:dyDescent="0.25">
      <c r="A17" s="41">
        <v>1</v>
      </c>
      <c r="B17" s="41">
        <v>1025</v>
      </c>
      <c r="C17" s="250">
        <v>43973</v>
      </c>
      <c r="D17" s="41" t="s">
        <v>1797</v>
      </c>
      <c r="E17" s="41" t="s">
        <v>532</v>
      </c>
      <c r="F17" s="41" t="s">
        <v>1836</v>
      </c>
      <c r="H17" s="41">
        <v>1100</v>
      </c>
      <c r="I17" s="41" t="s">
        <v>1650</v>
      </c>
      <c r="J17" s="41" t="s">
        <v>1877</v>
      </c>
      <c r="K17" s="41"/>
      <c r="L17" s="41"/>
      <c r="M17" s="59"/>
      <c r="N17" s="41">
        <v>109</v>
      </c>
      <c r="O17" s="76">
        <f t="shared" si="0"/>
        <v>14.883333333333336</v>
      </c>
      <c r="P17" s="41"/>
      <c r="Q17" s="41" t="s">
        <v>2137</v>
      </c>
    </row>
    <row r="18" spans="1:17" x14ac:dyDescent="0.25">
      <c r="A18" s="41">
        <v>1</v>
      </c>
      <c r="B18" s="41">
        <v>1026</v>
      </c>
      <c r="C18" s="250">
        <v>43977</v>
      </c>
      <c r="D18" s="41" t="s">
        <v>1797</v>
      </c>
      <c r="E18" s="41" t="s">
        <v>532</v>
      </c>
      <c r="F18" s="41" t="s">
        <v>2050</v>
      </c>
      <c r="G18" s="41"/>
      <c r="H18" s="41"/>
      <c r="I18" s="41" t="s">
        <v>1836</v>
      </c>
      <c r="J18" s="41" t="s">
        <v>1877</v>
      </c>
      <c r="K18" s="41"/>
      <c r="L18" s="41"/>
      <c r="M18" s="59">
        <v>0.47916666666666669</v>
      </c>
      <c r="N18" s="41">
        <v>50</v>
      </c>
      <c r="O18" s="76">
        <f t="shared" si="0"/>
        <v>15.71666666666667</v>
      </c>
      <c r="P18" s="41"/>
      <c r="Q18" s="41" t="s">
        <v>2138</v>
      </c>
    </row>
    <row r="19" spans="1:17" x14ac:dyDescent="0.25">
      <c r="A19" s="41">
        <v>1</v>
      </c>
      <c r="B19" s="41">
        <v>1027</v>
      </c>
      <c r="C19" s="250">
        <v>43977</v>
      </c>
      <c r="D19" s="41" t="s">
        <v>1797</v>
      </c>
      <c r="E19" s="41" t="s">
        <v>532</v>
      </c>
      <c r="F19" s="41" t="s">
        <v>1836</v>
      </c>
      <c r="G19" s="41"/>
      <c r="H19" s="41"/>
      <c r="I19" s="41" t="s">
        <v>1650</v>
      </c>
      <c r="J19" s="41" t="s">
        <v>1182</v>
      </c>
      <c r="K19" s="41"/>
      <c r="L19" s="41">
        <v>1950</v>
      </c>
      <c r="M19" s="59">
        <v>0.51041666666666663</v>
      </c>
      <c r="N19" s="41">
        <v>110</v>
      </c>
      <c r="O19" s="76">
        <f t="shared" si="0"/>
        <v>17.550000000000004</v>
      </c>
      <c r="P19" s="41"/>
      <c r="Q19" s="41" t="s">
        <v>2139</v>
      </c>
    </row>
    <row r="20" spans="1:17" x14ac:dyDescent="0.25">
      <c r="A20" s="41">
        <v>1</v>
      </c>
      <c r="B20" s="41">
        <v>1028</v>
      </c>
      <c r="C20" s="250">
        <v>43978</v>
      </c>
      <c r="D20" s="41" t="s">
        <v>1797</v>
      </c>
      <c r="E20" s="41" t="s">
        <v>532</v>
      </c>
      <c r="F20" s="41" t="s">
        <v>2050</v>
      </c>
      <c r="G20" s="41" t="s">
        <v>1830</v>
      </c>
      <c r="H20" s="41">
        <v>700</v>
      </c>
      <c r="I20" s="41" t="s">
        <v>1650</v>
      </c>
      <c r="J20" s="41" t="s">
        <v>1877</v>
      </c>
      <c r="K20" s="41"/>
      <c r="L20" s="41">
        <v>1900</v>
      </c>
      <c r="M20" s="59">
        <v>12</v>
      </c>
      <c r="N20" s="41">
        <v>142</v>
      </c>
      <c r="O20" s="76">
        <f t="shared" si="0"/>
        <v>19.916666666666671</v>
      </c>
      <c r="P20" s="41"/>
      <c r="Q20" s="41" t="s">
        <v>2140</v>
      </c>
    </row>
    <row r="21" spans="1:17" x14ac:dyDescent="0.25">
      <c r="A21" s="41">
        <v>1</v>
      </c>
      <c r="B21" s="41">
        <v>1029</v>
      </c>
      <c r="C21" s="250">
        <v>43979</v>
      </c>
      <c r="D21" s="41" t="s">
        <v>1797</v>
      </c>
      <c r="E21" s="41" t="s">
        <v>532</v>
      </c>
      <c r="F21" s="41" t="s">
        <v>2050</v>
      </c>
      <c r="G21" s="41"/>
      <c r="H21" s="41"/>
      <c r="I21" s="41" t="s">
        <v>2141</v>
      </c>
      <c r="J21" s="41" t="s">
        <v>1182</v>
      </c>
      <c r="K21" s="41"/>
      <c r="L21" s="41">
        <v>2200</v>
      </c>
      <c r="M21" s="59">
        <v>0.53125</v>
      </c>
      <c r="N21" s="41">
        <v>160</v>
      </c>
      <c r="O21" s="76">
        <f t="shared" si="0"/>
        <v>22.583333333333339</v>
      </c>
      <c r="P21" s="41"/>
      <c r="Q21" s="41" t="s">
        <v>2142</v>
      </c>
    </row>
    <row r="22" spans="1:17" hidden="1" x14ac:dyDescent="0.25">
      <c r="A22" s="41">
        <v>1</v>
      </c>
      <c r="B22" s="41">
        <v>1030</v>
      </c>
      <c r="C22" s="250">
        <v>43980</v>
      </c>
      <c r="D22" s="41" t="s">
        <v>2143</v>
      </c>
      <c r="E22" s="41" t="s">
        <v>532</v>
      </c>
      <c r="F22" s="41" t="s">
        <v>2077</v>
      </c>
      <c r="G22" s="41"/>
      <c r="H22" s="41"/>
      <c r="I22" s="41" t="s">
        <v>1650</v>
      </c>
      <c r="J22" s="41" t="s">
        <v>1925</v>
      </c>
      <c r="K22" s="41"/>
      <c r="L22" s="41"/>
      <c r="M22" s="59"/>
      <c r="N22" s="41">
        <v>30</v>
      </c>
      <c r="O22" s="76">
        <f t="shared" si="0"/>
        <v>23.083333333333339</v>
      </c>
      <c r="P22" s="41"/>
      <c r="Q22" s="41" t="s">
        <v>2145</v>
      </c>
    </row>
    <row r="23" spans="1:17" hidden="1" x14ac:dyDescent="0.25">
      <c r="A23" s="41">
        <v>1</v>
      </c>
      <c r="B23" s="41">
        <v>1031</v>
      </c>
      <c r="C23" s="250">
        <v>43981</v>
      </c>
      <c r="D23" s="41" t="s">
        <v>2143</v>
      </c>
      <c r="E23" s="41" t="s">
        <v>532</v>
      </c>
      <c r="F23" s="41" t="s">
        <v>2050</v>
      </c>
      <c r="G23" s="41"/>
      <c r="H23" s="41"/>
      <c r="I23" s="41" t="s">
        <v>1650</v>
      </c>
      <c r="J23" s="41" t="s">
        <v>1925</v>
      </c>
      <c r="K23" s="41"/>
      <c r="L23" s="41"/>
      <c r="M23" s="59"/>
      <c r="N23" s="41">
        <v>30</v>
      </c>
      <c r="O23" s="76">
        <f t="shared" si="0"/>
        <v>23.583333333333339</v>
      </c>
      <c r="P23" s="41"/>
      <c r="Q23" s="41" t="s">
        <v>2146</v>
      </c>
    </row>
    <row r="24" spans="1:17" hidden="1" x14ac:dyDescent="0.25">
      <c r="A24" s="41">
        <v>1</v>
      </c>
      <c r="B24" s="41">
        <v>1032</v>
      </c>
      <c r="C24" s="250">
        <v>43981</v>
      </c>
      <c r="D24" s="41" t="s">
        <v>2143</v>
      </c>
      <c r="E24" s="41" t="s">
        <v>532</v>
      </c>
      <c r="F24" s="41" t="s">
        <v>2050</v>
      </c>
      <c r="G24" s="41"/>
      <c r="H24" s="41"/>
      <c r="I24" s="41" t="s">
        <v>1650</v>
      </c>
      <c r="J24" s="41" t="s">
        <v>1925</v>
      </c>
      <c r="K24" s="41"/>
      <c r="L24" s="41"/>
      <c r="M24" s="59"/>
      <c r="N24" s="41">
        <v>66</v>
      </c>
      <c r="O24" s="76">
        <f t="shared" si="0"/>
        <v>24.683333333333341</v>
      </c>
      <c r="P24" s="41"/>
      <c r="Q24" s="41" t="s">
        <v>2147</v>
      </c>
    </row>
    <row r="25" spans="1:17" hidden="1" x14ac:dyDescent="0.25">
      <c r="A25" s="41">
        <v>1</v>
      </c>
      <c r="B25" s="41">
        <v>1033</v>
      </c>
      <c r="C25" s="250">
        <v>43981</v>
      </c>
      <c r="D25" s="41" t="s">
        <v>2143</v>
      </c>
      <c r="E25" s="41" t="s">
        <v>532</v>
      </c>
      <c r="F25" s="41" t="s">
        <v>2077</v>
      </c>
      <c r="G25" s="41"/>
      <c r="H25" s="41"/>
      <c r="I25" s="41" t="s">
        <v>1650</v>
      </c>
      <c r="J25" s="41" t="s">
        <v>1925</v>
      </c>
      <c r="K25" s="41"/>
      <c r="L25" s="41"/>
      <c r="M25" s="59"/>
      <c r="N25" s="41">
        <v>20</v>
      </c>
      <c r="O25" s="76">
        <f t="shared" si="0"/>
        <v>25.016666666666673</v>
      </c>
      <c r="P25" s="41"/>
      <c r="Q25" s="41" t="s">
        <v>2148</v>
      </c>
    </row>
    <row r="26" spans="1:17" hidden="1" x14ac:dyDescent="0.25">
      <c r="A26" s="41">
        <v>1</v>
      </c>
      <c r="B26" s="41">
        <v>1034</v>
      </c>
      <c r="C26" s="250">
        <v>43982</v>
      </c>
      <c r="D26" s="41" t="s">
        <v>2144</v>
      </c>
      <c r="E26" s="41" t="s">
        <v>532</v>
      </c>
      <c r="F26" s="41" t="s">
        <v>2050</v>
      </c>
      <c r="G26" s="41"/>
      <c r="H26" s="41"/>
      <c r="I26" s="41" t="s">
        <v>1650</v>
      </c>
      <c r="J26" s="41" t="s">
        <v>1925</v>
      </c>
      <c r="K26" s="41"/>
      <c r="L26" s="41"/>
      <c r="M26" s="59"/>
      <c r="N26" s="41">
        <v>120</v>
      </c>
      <c r="O26" s="76">
        <f t="shared" si="0"/>
        <v>27.016666666666673</v>
      </c>
      <c r="P26" s="41"/>
      <c r="Q26" s="41" t="s">
        <v>2149</v>
      </c>
    </row>
    <row r="27" spans="1:17" x14ac:dyDescent="0.25">
      <c r="A27" s="41">
        <v>1</v>
      </c>
      <c r="B27" s="41">
        <v>1035</v>
      </c>
      <c r="C27" s="250">
        <v>43997</v>
      </c>
      <c r="D27" s="41" t="s">
        <v>1797</v>
      </c>
      <c r="E27" s="41" t="s">
        <v>532</v>
      </c>
      <c r="F27" s="41" t="s">
        <v>2050</v>
      </c>
      <c r="G27" s="41" t="s">
        <v>1830</v>
      </c>
      <c r="H27" s="41">
        <v>700</v>
      </c>
      <c r="I27" s="41" t="s">
        <v>1650</v>
      </c>
      <c r="J27" s="41" t="s">
        <v>1877</v>
      </c>
      <c r="K27" s="41"/>
      <c r="L27" s="41"/>
      <c r="M27" s="59"/>
      <c r="N27" s="41">
        <v>10</v>
      </c>
      <c r="O27" s="76">
        <f t="shared" si="0"/>
        <v>27.183333333333341</v>
      </c>
      <c r="P27" s="41"/>
      <c r="Q27" s="41" t="s">
        <v>2150</v>
      </c>
    </row>
    <row r="28" spans="1:17" x14ac:dyDescent="0.25">
      <c r="A28" s="41">
        <v>1</v>
      </c>
      <c r="B28" s="41">
        <v>1036</v>
      </c>
      <c r="C28" s="250">
        <v>43997</v>
      </c>
      <c r="D28" s="41" t="s">
        <v>1797</v>
      </c>
      <c r="E28" s="41" t="s">
        <v>532</v>
      </c>
      <c r="F28" s="41" t="s">
        <v>612</v>
      </c>
      <c r="G28" s="41"/>
      <c r="H28" s="41">
        <v>80</v>
      </c>
      <c r="I28" s="41" t="s">
        <v>612</v>
      </c>
      <c r="J28" s="41" t="s">
        <v>1877</v>
      </c>
      <c r="K28" s="41"/>
      <c r="L28" s="41"/>
      <c r="M28" s="59"/>
      <c r="N28" s="41">
        <v>2</v>
      </c>
      <c r="O28" s="76">
        <f t="shared" si="0"/>
        <v>27.216666666666676</v>
      </c>
      <c r="P28" s="41"/>
      <c r="Q28" s="41" t="s">
        <v>2151</v>
      </c>
    </row>
    <row r="29" spans="1:17" x14ac:dyDescent="0.25">
      <c r="A29" s="41">
        <v>1</v>
      </c>
      <c r="B29" s="41">
        <v>1037</v>
      </c>
      <c r="C29" s="250">
        <v>44003</v>
      </c>
      <c r="D29" s="41" t="s">
        <v>1797</v>
      </c>
      <c r="E29" s="41" t="s">
        <v>532</v>
      </c>
      <c r="F29" s="41" t="s">
        <v>2050</v>
      </c>
      <c r="G29" s="41"/>
      <c r="H29" s="41"/>
      <c r="I29" s="41" t="s">
        <v>1650</v>
      </c>
      <c r="J29" s="41" t="s">
        <v>1877</v>
      </c>
      <c r="K29" s="41"/>
      <c r="L29" s="41"/>
      <c r="M29" s="59"/>
      <c r="N29" s="41">
        <v>86</v>
      </c>
      <c r="O29" s="76">
        <f t="shared" si="0"/>
        <v>28.650000000000009</v>
      </c>
      <c r="P29" s="41"/>
      <c r="Q29" s="41" t="s">
        <v>2152</v>
      </c>
    </row>
    <row r="30" spans="1:17" x14ac:dyDescent="0.25">
      <c r="A30" s="41">
        <v>1</v>
      </c>
      <c r="B30" s="41">
        <v>1038</v>
      </c>
      <c r="C30" s="250">
        <v>44005</v>
      </c>
      <c r="D30" s="41" t="s">
        <v>1797</v>
      </c>
      <c r="E30" s="41" t="s">
        <v>532</v>
      </c>
      <c r="F30" s="41" t="s">
        <v>2019</v>
      </c>
      <c r="G30" s="41"/>
      <c r="H30" s="41"/>
      <c r="I30" s="41" t="s">
        <v>1550</v>
      </c>
      <c r="J30" s="41" t="s">
        <v>1877</v>
      </c>
      <c r="K30" s="41"/>
      <c r="L30" s="41">
        <v>2600</v>
      </c>
      <c r="M30" s="59"/>
      <c r="N30" s="41">
        <v>118</v>
      </c>
      <c r="O30" s="76">
        <f t="shared" si="0"/>
        <v>30.616666666666674</v>
      </c>
      <c r="P30" s="41"/>
      <c r="Q30" s="41" t="s">
        <v>2153</v>
      </c>
    </row>
    <row r="31" spans="1:17" hidden="1" x14ac:dyDescent="0.25">
      <c r="A31" s="41">
        <v>1</v>
      </c>
      <c r="B31" s="41">
        <v>1039</v>
      </c>
      <c r="C31" s="250">
        <v>44006</v>
      </c>
      <c r="D31" s="41" t="s">
        <v>2143</v>
      </c>
      <c r="E31" s="41" t="s">
        <v>532</v>
      </c>
      <c r="F31" s="41" t="s">
        <v>2050</v>
      </c>
      <c r="G31" s="41"/>
      <c r="H31" s="41"/>
      <c r="I31" s="41" t="s">
        <v>1650</v>
      </c>
      <c r="J31" s="41" t="s">
        <v>1925</v>
      </c>
      <c r="K31" s="41"/>
      <c r="L31" s="41">
        <v>2280</v>
      </c>
      <c r="M31" s="59"/>
      <c r="N31" s="41">
        <v>180</v>
      </c>
      <c r="O31" s="76">
        <f t="shared" si="0"/>
        <v>33.616666666666674</v>
      </c>
      <c r="P31" s="41"/>
      <c r="Q31" s="41" t="s">
        <v>2155</v>
      </c>
    </row>
    <row r="32" spans="1:17" x14ac:dyDescent="0.25">
      <c r="A32" s="41">
        <v>1</v>
      </c>
      <c r="B32" s="41">
        <v>1040</v>
      </c>
      <c r="C32" s="250">
        <v>44008</v>
      </c>
      <c r="D32" s="41" t="s">
        <v>1797</v>
      </c>
      <c r="E32" s="41" t="s">
        <v>532</v>
      </c>
      <c r="F32" s="41" t="s">
        <v>2050</v>
      </c>
      <c r="G32" s="41"/>
      <c r="H32" s="41"/>
      <c r="I32" s="41" t="s">
        <v>1650</v>
      </c>
      <c r="J32" s="41" t="s">
        <v>1877</v>
      </c>
      <c r="K32" s="41"/>
      <c r="L32" s="41"/>
      <c r="M32" s="59"/>
      <c r="N32" s="41">
        <v>21</v>
      </c>
      <c r="O32" s="76">
        <f t="shared" si="0"/>
        <v>33.966666666666676</v>
      </c>
      <c r="P32" s="41"/>
    </row>
    <row r="33" spans="1:17" x14ac:dyDescent="0.25">
      <c r="A33" s="41">
        <v>1</v>
      </c>
      <c r="B33" s="41">
        <v>1041</v>
      </c>
      <c r="C33" s="250">
        <v>44008</v>
      </c>
      <c r="D33" s="41" t="s">
        <v>1797</v>
      </c>
      <c r="E33" s="41" t="s">
        <v>532</v>
      </c>
      <c r="F33" s="41" t="s">
        <v>2050</v>
      </c>
      <c r="G33" s="41"/>
      <c r="H33" s="41"/>
      <c r="I33" s="41" t="s">
        <v>1650</v>
      </c>
      <c r="J33" s="41" t="s">
        <v>1877</v>
      </c>
      <c r="K33" s="41"/>
      <c r="L33" s="41"/>
      <c r="M33" s="59"/>
      <c r="N33" s="41">
        <v>100</v>
      </c>
      <c r="O33" s="76">
        <f t="shared" si="0"/>
        <v>35.63333333333334</v>
      </c>
      <c r="P33" s="41"/>
    </row>
    <row r="34" spans="1:17" hidden="1" x14ac:dyDescent="0.25">
      <c r="A34" s="41">
        <v>1</v>
      </c>
      <c r="B34" s="41">
        <v>1042</v>
      </c>
      <c r="C34" s="250">
        <v>44016</v>
      </c>
      <c r="D34" s="41" t="s">
        <v>2154</v>
      </c>
      <c r="E34" s="41" t="s">
        <v>532</v>
      </c>
      <c r="F34" s="41" t="s">
        <v>2077</v>
      </c>
      <c r="G34" s="41"/>
      <c r="H34" s="41"/>
      <c r="I34" s="41" t="s">
        <v>1650</v>
      </c>
      <c r="J34" s="41" t="s">
        <v>1925</v>
      </c>
      <c r="K34" s="41"/>
      <c r="L34" s="41"/>
      <c r="M34" s="59"/>
      <c r="N34" s="41">
        <v>53</v>
      </c>
      <c r="O34" s="76">
        <f t="shared" si="0"/>
        <v>36.516666666666673</v>
      </c>
      <c r="P34" s="41"/>
      <c r="Q34" s="41" t="s">
        <v>2224</v>
      </c>
    </row>
    <row r="35" spans="1:17" hidden="1" x14ac:dyDescent="0.25">
      <c r="A35" s="41">
        <v>1</v>
      </c>
      <c r="B35" s="41">
        <v>1043</v>
      </c>
      <c r="C35" s="250">
        <v>44017</v>
      </c>
      <c r="D35" s="41" t="s">
        <v>2154</v>
      </c>
      <c r="E35" s="41" t="s">
        <v>532</v>
      </c>
      <c r="F35" s="41" t="s">
        <v>2050</v>
      </c>
      <c r="G35" s="41"/>
      <c r="H35" s="41"/>
      <c r="I35" s="41" t="s">
        <v>1650</v>
      </c>
      <c r="J35" s="41" t="s">
        <v>1925</v>
      </c>
      <c r="K35" s="41"/>
      <c r="L35" s="41"/>
      <c r="M35" s="59"/>
      <c r="N35" s="41">
        <v>10</v>
      </c>
      <c r="O35" s="76">
        <f t="shared" si="0"/>
        <v>36.683333333333337</v>
      </c>
      <c r="P35" s="41"/>
      <c r="Q35" s="41" t="s">
        <v>2156</v>
      </c>
    </row>
    <row r="36" spans="1:17" hidden="1" x14ac:dyDescent="0.25">
      <c r="A36" s="41">
        <v>1</v>
      </c>
      <c r="B36" s="41">
        <v>1044</v>
      </c>
      <c r="C36" s="250">
        <v>44017</v>
      </c>
      <c r="D36" s="41" t="s">
        <v>2154</v>
      </c>
      <c r="E36" s="41" t="s">
        <v>532</v>
      </c>
      <c r="F36" s="41" t="s">
        <v>2050</v>
      </c>
      <c r="G36" s="41"/>
      <c r="H36" s="41"/>
      <c r="I36" s="41" t="s">
        <v>1650</v>
      </c>
      <c r="J36" s="41" t="s">
        <v>1925</v>
      </c>
      <c r="K36" s="41"/>
      <c r="L36" s="41"/>
      <c r="M36" s="59"/>
      <c r="N36" s="41">
        <v>62</v>
      </c>
      <c r="O36" s="76">
        <f t="shared" si="0"/>
        <v>37.716666666666669</v>
      </c>
      <c r="P36" s="41"/>
      <c r="Q36" s="41" t="s">
        <v>2157</v>
      </c>
    </row>
    <row r="37" spans="1:17" x14ac:dyDescent="0.25">
      <c r="A37" s="41">
        <v>1</v>
      </c>
      <c r="B37" s="41">
        <v>1045</v>
      </c>
      <c r="C37" s="250">
        <v>44024</v>
      </c>
      <c r="D37" s="41" t="s">
        <v>1797</v>
      </c>
      <c r="E37" s="41" t="s">
        <v>532</v>
      </c>
      <c r="F37" s="41" t="s">
        <v>2050</v>
      </c>
      <c r="G37" s="41"/>
      <c r="H37" s="41"/>
      <c r="I37" s="41" t="s">
        <v>1650</v>
      </c>
      <c r="J37" s="41" t="s">
        <v>1877</v>
      </c>
      <c r="K37" s="41"/>
      <c r="L37" s="41"/>
      <c r="M37" s="59"/>
      <c r="N37" s="41">
        <v>15</v>
      </c>
      <c r="O37" s="76">
        <f t="shared" si="0"/>
        <v>37.966666666666669</v>
      </c>
      <c r="P37" s="41"/>
    </row>
    <row r="38" spans="1:17" x14ac:dyDescent="0.25">
      <c r="A38" s="41">
        <v>1</v>
      </c>
      <c r="B38" s="41">
        <v>1046</v>
      </c>
      <c r="C38" s="250">
        <v>44048</v>
      </c>
      <c r="D38" s="41" t="s">
        <v>1797</v>
      </c>
      <c r="E38" s="41" t="s">
        <v>532</v>
      </c>
      <c r="F38" s="41" t="s">
        <v>2019</v>
      </c>
      <c r="G38" s="41" t="s">
        <v>1830</v>
      </c>
      <c r="H38" s="41">
        <v>700</v>
      </c>
      <c r="I38" s="41" t="s">
        <v>1550</v>
      </c>
      <c r="J38" s="41" t="s">
        <v>1182</v>
      </c>
      <c r="K38" s="41" t="s">
        <v>661</v>
      </c>
      <c r="L38" s="41">
        <v>2300</v>
      </c>
      <c r="M38" s="59">
        <v>0.56944444444444442</v>
      </c>
      <c r="N38" s="41">
        <v>68</v>
      </c>
      <c r="O38" s="76">
        <f t="shared" si="0"/>
        <v>39.1</v>
      </c>
      <c r="P38" s="41">
        <v>10</v>
      </c>
    </row>
    <row r="39" spans="1:17" x14ac:dyDescent="0.25">
      <c r="A39" s="41">
        <v>1</v>
      </c>
      <c r="B39" s="41">
        <v>1047</v>
      </c>
      <c r="C39" s="250">
        <v>44049</v>
      </c>
      <c r="D39" s="41" t="s">
        <v>1797</v>
      </c>
      <c r="E39" s="41" t="s">
        <v>532</v>
      </c>
      <c r="F39" s="41" t="s">
        <v>2019</v>
      </c>
      <c r="G39" s="41"/>
      <c r="H39" s="41"/>
      <c r="I39" s="41" t="s">
        <v>1550</v>
      </c>
      <c r="J39" s="41" t="s">
        <v>1182</v>
      </c>
      <c r="K39" s="41" t="s">
        <v>2158</v>
      </c>
      <c r="L39" s="41">
        <v>3960</v>
      </c>
      <c r="M39" s="59">
        <v>0.55208333333333337</v>
      </c>
      <c r="N39" s="41">
        <v>205</v>
      </c>
      <c r="O39" s="76">
        <f t="shared" si="0"/>
        <v>42.516666666666666</v>
      </c>
      <c r="P39" s="41">
        <v>40</v>
      </c>
      <c r="Q39" s="41" t="s">
        <v>2159</v>
      </c>
    </row>
    <row r="40" spans="1:17" x14ac:dyDescent="0.25">
      <c r="A40" s="41">
        <v>1</v>
      </c>
      <c r="B40" s="41">
        <v>1048</v>
      </c>
      <c r="C40" s="250">
        <v>44050</v>
      </c>
      <c r="D40" s="41" t="s">
        <v>1797</v>
      </c>
      <c r="E40" s="41" t="s">
        <v>532</v>
      </c>
      <c r="F40" s="41" t="s">
        <v>2019</v>
      </c>
      <c r="G40" s="41"/>
      <c r="H40" s="41"/>
      <c r="I40" s="41" t="s">
        <v>1550</v>
      </c>
      <c r="J40" s="41" t="s">
        <v>1182</v>
      </c>
      <c r="K40" s="41" t="s">
        <v>2158</v>
      </c>
      <c r="L40" s="41">
        <v>4100</v>
      </c>
      <c r="M40" s="59">
        <v>0.52083333333333337</v>
      </c>
      <c r="N40" s="41">
        <v>246</v>
      </c>
      <c r="O40" s="76">
        <f t="shared" si="0"/>
        <v>46.616666666666667</v>
      </c>
      <c r="P40" s="41">
        <v>68</v>
      </c>
      <c r="Q40" s="41" t="s">
        <v>2160</v>
      </c>
    </row>
    <row r="41" spans="1:17" x14ac:dyDescent="0.25">
      <c r="A41" s="41">
        <v>1</v>
      </c>
      <c r="B41" s="41">
        <v>1049</v>
      </c>
      <c r="C41" s="250">
        <v>44051</v>
      </c>
      <c r="D41" s="41" t="s">
        <v>1797</v>
      </c>
      <c r="E41" s="41" t="s">
        <v>532</v>
      </c>
      <c r="F41" s="41" t="s">
        <v>1836</v>
      </c>
      <c r="G41" s="41" t="s">
        <v>1830</v>
      </c>
      <c r="H41" s="41">
        <v>400</v>
      </c>
      <c r="I41" s="41" t="s">
        <v>1650</v>
      </c>
      <c r="J41" s="41" t="s">
        <v>1877</v>
      </c>
      <c r="K41" s="41"/>
      <c r="L41" s="41">
        <v>1800</v>
      </c>
      <c r="M41" s="59">
        <v>0.54166666666666663</v>
      </c>
      <c r="N41" s="41">
        <v>55</v>
      </c>
      <c r="O41" s="76">
        <f t="shared" si="0"/>
        <v>47.533333333333331</v>
      </c>
      <c r="P41" s="41"/>
      <c r="Q41" s="41" t="s">
        <v>2161</v>
      </c>
    </row>
    <row r="42" spans="1:17" hidden="1" x14ac:dyDescent="0.25">
      <c r="A42" s="41">
        <v>1</v>
      </c>
      <c r="B42" s="41">
        <v>1050</v>
      </c>
      <c r="C42" s="250">
        <v>44051</v>
      </c>
      <c r="D42" s="41" t="s">
        <v>2154</v>
      </c>
      <c r="E42" s="41" t="s">
        <v>532</v>
      </c>
      <c r="F42" s="41" t="s">
        <v>2050</v>
      </c>
      <c r="G42" s="41"/>
      <c r="H42" s="41"/>
      <c r="I42" s="41" t="s">
        <v>1650</v>
      </c>
      <c r="J42" s="41" t="s">
        <v>1925</v>
      </c>
      <c r="K42" s="41"/>
      <c r="L42" s="41"/>
      <c r="M42" s="59">
        <v>0.64583333333333337</v>
      </c>
      <c r="N42" s="41">
        <v>20</v>
      </c>
      <c r="O42" s="76">
        <f t="shared" si="0"/>
        <v>47.866666666666667</v>
      </c>
      <c r="P42" s="41"/>
      <c r="Q42" s="41" t="s">
        <v>2162</v>
      </c>
    </row>
    <row r="43" spans="1:17" hidden="1" x14ac:dyDescent="0.25">
      <c r="A43" s="41">
        <v>1</v>
      </c>
      <c r="B43" s="41">
        <v>1051</v>
      </c>
      <c r="C43" s="250">
        <v>44052</v>
      </c>
      <c r="D43" s="41" t="s">
        <v>2154</v>
      </c>
      <c r="E43" s="41" t="s">
        <v>532</v>
      </c>
      <c r="F43" s="41" t="s">
        <v>2050</v>
      </c>
      <c r="G43" s="41"/>
      <c r="H43" s="41"/>
      <c r="I43" s="41" t="s">
        <v>1650</v>
      </c>
      <c r="J43" s="41" t="s">
        <v>1925</v>
      </c>
      <c r="K43" s="41"/>
      <c r="L43" s="41"/>
      <c r="M43" s="59">
        <v>0.48958333333333331</v>
      </c>
      <c r="N43" s="41">
        <v>10</v>
      </c>
      <c r="O43" s="76">
        <f t="shared" si="0"/>
        <v>48.033333333333331</v>
      </c>
      <c r="P43" s="41"/>
      <c r="Q43" s="41" t="s">
        <v>2163</v>
      </c>
    </row>
    <row r="44" spans="1:17" hidden="1" x14ac:dyDescent="0.25">
      <c r="A44" s="41">
        <v>1</v>
      </c>
      <c r="B44" s="41">
        <v>1052</v>
      </c>
      <c r="C44" s="250">
        <v>44052</v>
      </c>
      <c r="D44" s="41" t="s">
        <v>2154</v>
      </c>
      <c r="E44" s="41" t="s">
        <v>532</v>
      </c>
      <c r="F44" s="41" t="s">
        <v>2050</v>
      </c>
      <c r="G44" s="41"/>
      <c r="H44" s="41"/>
      <c r="I44" s="41" t="s">
        <v>1650</v>
      </c>
      <c r="J44" s="41" t="s">
        <v>1925</v>
      </c>
      <c r="K44" s="41"/>
      <c r="L44" s="41"/>
      <c r="M44" s="59">
        <v>0.55208333333333337</v>
      </c>
      <c r="N44" s="41">
        <v>30</v>
      </c>
      <c r="O44" s="76">
        <f t="shared" si="0"/>
        <v>48.533333333333331</v>
      </c>
      <c r="P44" s="41"/>
      <c r="Q44" s="41" t="s">
        <v>2164</v>
      </c>
    </row>
    <row r="45" spans="1:17" x14ac:dyDescent="0.25">
      <c r="A45" s="41">
        <v>1</v>
      </c>
      <c r="B45" s="41">
        <v>1053</v>
      </c>
      <c r="C45" s="250">
        <v>44054</v>
      </c>
      <c r="D45" s="41" t="s">
        <v>1797</v>
      </c>
      <c r="E45" s="41" t="s">
        <v>532</v>
      </c>
      <c r="F45" s="41" t="s">
        <v>1836</v>
      </c>
      <c r="G45" s="41" t="s">
        <v>1830</v>
      </c>
      <c r="H45" s="41"/>
      <c r="I45" s="41" t="s">
        <v>1650</v>
      </c>
      <c r="J45" s="41" t="s">
        <v>1877</v>
      </c>
      <c r="K45" s="41"/>
      <c r="L45" s="41"/>
      <c r="M45" s="59">
        <v>0.54166666666666663</v>
      </c>
      <c r="N45" s="41">
        <v>10</v>
      </c>
      <c r="O45" s="76">
        <f t="shared" si="0"/>
        <v>48.699999999999996</v>
      </c>
      <c r="P45" s="41"/>
      <c r="Q45" s="41" t="s">
        <v>2165</v>
      </c>
    </row>
    <row r="46" spans="1:17" x14ac:dyDescent="0.25">
      <c r="A46" s="41">
        <v>1</v>
      </c>
      <c r="B46" s="41">
        <v>1054</v>
      </c>
      <c r="C46" s="250">
        <v>44057</v>
      </c>
      <c r="D46" s="41" t="s">
        <v>1797</v>
      </c>
      <c r="E46" s="41" t="s">
        <v>532</v>
      </c>
      <c r="F46" s="41" t="s">
        <v>2050</v>
      </c>
      <c r="G46" s="41"/>
      <c r="H46" s="41"/>
      <c r="I46" s="41" t="s">
        <v>1650</v>
      </c>
      <c r="J46" s="41" t="s">
        <v>1877</v>
      </c>
      <c r="K46" s="41"/>
      <c r="L46" s="41"/>
      <c r="M46" s="59"/>
      <c r="N46" s="41">
        <v>25</v>
      </c>
      <c r="O46" s="76">
        <f t="shared" si="0"/>
        <v>49.11666666666666</v>
      </c>
      <c r="P46" s="41"/>
    </row>
    <row r="47" spans="1:17" x14ac:dyDescent="0.25">
      <c r="A47" s="41">
        <v>1</v>
      </c>
      <c r="B47" s="41">
        <v>1055</v>
      </c>
      <c r="C47" s="250">
        <v>44058</v>
      </c>
      <c r="D47" s="41" t="s">
        <v>1797</v>
      </c>
      <c r="E47" s="41" t="s">
        <v>532</v>
      </c>
      <c r="F47" s="41" t="s">
        <v>2050</v>
      </c>
      <c r="G47" s="41"/>
      <c r="H47" s="41"/>
      <c r="I47" s="41" t="s">
        <v>1650</v>
      </c>
      <c r="J47" s="41" t="s">
        <v>1877</v>
      </c>
      <c r="K47" s="41"/>
      <c r="L47" s="41"/>
      <c r="M47" s="59"/>
      <c r="N47" s="41">
        <v>10</v>
      </c>
      <c r="O47" s="76">
        <f t="shared" si="0"/>
        <v>49.283333333333324</v>
      </c>
      <c r="P47" s="41"/>
    </row>
    <row r="48" spans="1:17" hidden="1" x14ac:dyDescent="0.25">
      <c r="A48" s="41">
        <v>1</v>
      </c>
      <c r="B48" s="41">
        <v>1056</v>
      </c>
      <c r="C48" s="250">
        <v>44058</v>
      </c>
      <c r="D48" s="41" t="s">
        <v>278</v>
      </c>
      <c r="E48" s="41" t="s">
        <v>532</v>
      </c>
      <c r="F48" s="41" t="s">
        <v>2050</v>
      </c>
      <c r="G48" s="41"/>
      <c r="H48" s="41"/>
      <c r="I48" s="41" t="s">
        <v>1650</v>
      </c>
      <c r="J48" s="41" t="s">
        <v>1877</v>
      </c>
      <c r="K48" s="41"/>
      <c r="L48" s="41">
        <v>2000</v>
      </c>
      <c r="M48" s="59"/>
      <c r="N48" s="41">
        <v>14</v>
      </c>
      <c r="O48" s="76">
        <f t="shared" si="0"/>
        <v>49.516666666666659</v>
      </c>
      <c r="P48" s="41"/>
      <c r="Q48" s="41" t="s">
        <v>2166</v>
      </c>
    </row>
    <row r="49" spans="1:17" hidden="1" x14ac:dyDescent="0.25">
      <c r="A49" s="41">
        <v>1</v>
      </c>
      <c r="B49" s="41">
        <v>1057</v>
      </c>
      <c r="C49" s="250">
        <v>44068</v>
      </c>
      <c r="D49" s="41" t="s">
        <v>278</v>
      </c>
      <c r="E49" s="41" t="s">
        <v>532</v>
      </c>
      <c r="F49" s="41" t="s">
        <v>2050</v>
      </c>
      <c r="G49" s="41"/>
      <c r="H49" s="41"/>
      <c r="I49" s="41" t="s">
        <v>1650</v>
      </c>
      <c r="J49" s="41" t="s">
        <v>1182</v>
      </c>
      <c r="K49" s="41"/>
      <c r="L49" s="41"/>
      <c r="M49" s="59"/>
      <c r="N49" s="41">
        <v>95</v>
      </c>
      <c r="O49" s="76">
        <f t="shared" si="0"/>
        <v>51.099999999999994</v>
      </c>
      <c r="P49" s="41">
        <v>20</v>
      </c>
      <c r="Q49" s="41" t="s">
        <v>2167</v>
      </c>
    </row>
    <row r="50" spans="1:17" hidden="1" x14ac:dyDescent="0.25">
      <c r="A50" s="41">
        <v>1</v>
      </c>
      <c r="B50" s="41">
        <v>1058</v>
      </c>
      <c r="C50" s="250">
        <v>44068</v>
      </c>
      <c r="D50" s="41" t="s">
        <v>278</v>
      </c>
      <c r="E50" s="41" t="s">
        <v>532</v>
      </c>
      <c r="F50" s="41" t="s">
        <v>2077</v>
      </c>
      <c r="G50" s="41" t="s">
        <v>1830</v>
      </c>
      <c r="H50" s="41">
        <v>400</v>
      </c>
      <c r="I50" s="41" t="s">
        <v>1650</v>
      </c>
      <c r="J50" s="41" t="s">
        <v>1877</v>
      </c>
      <c r="K50" s="41"/>
      <c r="L50" s="41"/>
      <c r="M50" s="59"/>
      <c r="N50" s="41">
        <v>45</v>
      </c>
      <c r="O50" s="76">
        <f t="shared" si="0"/>
        <v>51.849999999999994</v>
      </c>
      <c r="P50" s="41"/>
    </row>
    <row r="51" spans="1:17" x14ac:dyDescent="0.25">
      <c r="A51" s="41">
        <v>1</v>
      </c>
      <c r="B51" s="41">
        <v>1059</v>
      </c>
      <c r="C51" s="250">
        <v>44069</v>
      </c>
      <c r="D51" s="41" t="s">
        <v>1797</v>
      </c>
      <c r="E51" s="41" t="s">
        <v>532</v>
      </c>
      <c r="F51" s="41" t="s">
        <v>2050</v>
      </c>
      <c r="G51" s="41"/>
      <c r="H51" s="41"/>
      <c r="I51" s="41" t="s">
        <v>1650</v>
      </c>
      <c r="J51" s="41" t="s">
        <v>1877</v>
      </c>
      <c r="K51" s="41"/>
      <c r="L51" s="41"/>
      <c r="M51" s="59"/>
      <c r="N51" s="41">
        <v>175</v>
      </c>
      <c r="O51" s="76">
        <f t="shared" si="0"/>
        <v>54.766666666666659</v>
      </c>
      <c r="P51" s="41"/>
    </row>
    <row r="52" spans="1:17" x14ac:dyDescent="0.25">
      <c r="A52" s="41">
        <v>1</v>
      </c>
      <c r="B52" s="41">
        <v>1060</v>
      </c>
      <c r="C52" s="250">
        <v>44070</v>
      </c>
      <c r="D52" s="41" t="s">
        <v>1797</v>
      </c>
      <c r="E52" s="41" t="s">
        <v>532</v>
      </c>
      <c r="F52" s="41" t="s">
        <v>2050</v>
      </c>
      <c r="G52" s="41" t="s">
        <v>1830</v>
      </c>
      <c r="H52" s="41">
        <v>700</v>
      </c>
      <c r="I52" s="41" t="s">
        <v>1650</v>
      </c>
      <c r="J52" s="41" t="s">
        <v>1877</v>
      </c>
      <c r="K52" s="41" t="s">
        <v>2168</v>
      </c>
      <c r="L52" s="41"/>
      <c r="M52" s="59"/>
      <c r="N52" s="41">
        <v>180</v>
      </c>
      <c r="O52" s="76">
        <f t="shared" si="0"/>
        <v>57.766666666666659</v>
      </c>
      <c r="P52" s="41"/>
      <c r="Q52" s="41" t="s">
        <v>2169</v>
      </c>
    </row>
    <row r="53" spans="1:17" x14ac:dyDescent="0.25">
      <c r="A53" s="41">
        <v>1</v>
      </c>
      <c r="B53" s="41">
        <v>1061</v>
      </c>
      <c r="C53" s="250">
        <v>44075</v>
      </c>
      <c r="D53" s="41" t="s">
        <v>1797</v>
      </c>
      <c r="E53" s="41" t="s">
        <v>532</v>
      </c>
      <c r="F53" s="41" t="s">
        <v>2050</v>
      </c>
      <c r="G53" s="41" t="s">
        <v>1830</v>
      </c>
      <c r="H53" s="41">
        <v>700</v>
      </c>
      <c r="I53" s="41" t="s">
        <v>1650</v>
      </c>
      <c r="J53" s="41" t="s">
        <v>1877</v>
      </c>
      <c r="K53" s="41" t="s">
        <v>2170</v>
      </c>
      <c r="L53" s="41">
        <v>1600</v>
      </c>
      <c r="M53" s="59">
        <v>0.47916666666666669</v>
      </c>
      <c r="N53" s="41">
        <v>60</v>
      </c>
      <c r="O53" s="76">
        <f t="shared" si="0"/>
        <v>58.766666666666659</v>
      </c>
      <c r="P53" s="41"/>
      <c r="Q53" s="41" t="s">
        <v>2171</v>
      </c>
    </row>
    <row r="54" spans="1:17" x14ac:dyDescent="0.25">
      <c r="A54" s="41"/>
      <c r="B54" s="41">
        <v>1062</v>
      </c>
      <c r="C54" s="250">
        <v>44077</v>
      </c>
      <c r="D54" s="41" t="s">
        <v>1797</v>
      </c>
      <c r="E54" s="41" t="s">
        <v>532</v>
      </c>
      <c r="F54" s="41" t="s">
        <v>2050</v>
      </c>
      <c r="G54" s="41"/>
      <c r="H54" s="41"/>
      <c r="I54" s="41" t="s">
        <v>1650</v>
      </c>
      <c r="J54" s="41" t="s">
        <v>1877</v>
      </c>
      <c r="K54" s="41"/>
      <c r="L54" s="41">
        <v>1450</v>
      </c>
      <c r="M54" s="59">
        <v>0.48958333333333331</v>
      </c>
      <c r="N54" s="41">
        <v>215</v>
      </c>
      <c r="O54" s="76">
        <f t="shared" si="0"/>
        <v>62.349999999999994</v>
      </c>
      <c r="P54" s="41"/>
    </row>
    <row r="55" spans="1:17" x14ac:dyDescent="0.25">
      <c r="A55" s="41"/>
      <c r="B55" s="41">
        <v>1063</v>
      </c>
      <c r="C55" s="250">
        <v>44078</v>
      </c>
      <c r="D55" s="41" t="s">
        <v>1797</v>
      </c>
      <c r="E55" s="41" t="s">
        <v>532</v>
      </c>
      <c r="F55" s="41" t="s">
        <v>2050</v>
      </c>
      <c r="G55" s="41"/>
      <c r="H55" s="41"/>
      <c r="I55" s="41" t="s">
        <v>1650</v>
      </c>
      <c r="J55" s="41" t="s">
        <v>1877</v>
      </c>
      <c r="K55" s="41"/>
      <c r="L55" s="41"/>
      <c r="M55" s="59">
        <v>0.52083333333333337</v>
      </c>
      <c r="N55" s="41">
        <v>240</v>
      </c>
      <c r="O55" s="76">
        <f t="shared" si="0"/>
        <v>66.349999999999994</v>
      </c>
      <c r="P55" s="41"/>
    </row>
    <row r="56" spans="1:17" x14ac:dyDescent="0.25">
      <c r="A56" s="41"/>
      <c r="B56" s="41">
        <v>1064</v>
      </c>
      <c r="C56" s="250">
        <v>44079</v>
      </c>
      <c r="D56" s="41" t="s">
        <v>1797</v>
      </c>
      <c r="E56" s="41" t="s">
        <v>532</v>
      </c>
      <c r="F56" s="41" t="s">
        <v>2050</v>
      </c>
      <c r="G56" s="41"/>
      <c r="H56" s="41"/>
      <c r="I56" s="41" t="s">
        <v>1650</v>
      </c>
      <c r="J56" s="41" t="s">
        <v>1877</v>
      </c>
      <c r="K56" s="41"/>
      <c r="L56" s="41"/>
      <c r="M56" s="59">
        <v>0.57638888888888895</v>
      </c>
      <c r="N56" s="41">
        <v>70</v>
      </c>
      <c r="O56" s="76">
        <f t="shared" si="0"/>
        <v>67.516666666666666</v>
      </c>
      <c r="P56" s="41"/>
    </row>
    <row r="57" spans="1:17" x14ac:dyDescent="0.25">
      <c r="A57" s="41"/>
      <c r="B57" s="41">
        <v>1065</v>
      </c>
      <c r="C57" s="250">
        <v>44082</v>
      </c>
      <c r="D57" s="41" t="s">
        <v>1797</v>
      </c>
      <c r="E57" s="41" t="s">
        <v>532</v>
      </c>
      <c r="F57" s="41" t="s">
        <v>2050</v>
      </c>
      <c r="G57" s="41"/>
      <c r="H57" s="41"/>
      <c r="I57" s="41" t="s">
        <v>1650</v>
      </c>
      <c r="J57" s="41" t="s">
        <v>1877</v>
      </c>
      <c r="K57" s="41"/>
      <c r="L57" s="41"/>
      <c r="M57" s="59">
        <v>0.49305555555555558</v>
      </c>
      <c r="N57" s="41">
        <v>160</v>
      </c>
      <c r="O57" s="76">
        <f t="shared" si="0"/>
        <v>70.183333333333337</v>
      </c>
      <c r="P57" s="41"/>
    </row>
    <row r="58" spans="1:17" x14ac:dyDescent="0.25">
      <c r="A58" s="41"/>
      <c r="B58" s="41">
        <v>1066</v>
      </c>
      <c r="C58" s="250">
        <v>44084</v>
      </c>
      <c r="D58" s="41" t="s">
        <v>1797</v>
      </c>
      <c r="E58" s="41" t="s">
        <v>532</v>
      </c>
      <c r="F58" s="41" t="s">
        <v>1836</v>
      </c>
      <c r="G58" s="41" t="s">
        <v>1830</v>
      </c>
      <c r="H58" s="41">
        <v>1100</v>
      </c>
      <c r="I58" s="41" t="s">
        <v>1650</v>
      </c>
      <c r="J58" s="41" t="s">
        <v>1877</v>
      </c>
      <c r="K58" s="41"/>
      <c r="L58" s="41"/>
      <c r="M58" s="59">
        <v>0.60416666666666663</v>
      </c>
      <c r="N58" s="41">
        <v>40</v>
      </c>
      <c r="O58" s="76">
        <f t="shared" si="0"/>
        <v>70.850000000000009</v>
      </c>
      <c r="P58" s="41"/>
      <c r="Q58" s="41" t="s">
        <v>2172</v>
      </c>
    </row>
    <row r="59" spans="1:17" x14ac:dyDescent="0.25">
      <c r="A59" s="41"/>
      <c r="B59" s="41">
        <v>1067</v>
      </c>
      <c r="C59" s="250">
        <v>44085</v>
      </c>
      <c r="D59" s="41" t="s">
        <v>1797</v>
      </c>
      <c r="E59" s="41" t="s">
        <v>532</v>
      </c>
      <c r="F59" s="41" t="s">
        <v>2050</v>
      </c>
      <c r="G59" s="41"/>
      <c r="H59" s="41"/>
      <c r="I59" s="41" t="s">
        <v>1650</v>
      </c>
      <c r="J59" s="41" t="s">
        <v>1877</v>
      </c>
      <c r="K59" s="41"/>
      <c r="L59" s="41"/>
      <c r="M59" s="59">
        <v>0.47916666666666669</v>
      </c>
      <c r="N59" s="41">
        <v>70</v>
      </c>
      <c r="O59" s="76">
        <f t="shared" si="0"/>
        <v>72.01666666666668</v>
      </c>
      <c r="P59" s="41"/>
      <c r="Q59" s="41" t="s">
        <v>2173</v>
      </c>
    </row>
    <row r="60" spans="1:17" hidden="1" x14ac:dyDescent="0.25">
      <c r="A60" s="41"/>
      <c r="B60" s="41">
        <v>1068</v>
      </c>
      <c r="C60" s="250">
        <v>44086</v>
      </c>
      <c r="D60" s="41" t="s">
        <v>2154</v>
      </c>
      <c r="E60" s="41" t="s">
        <v>532</v>
      </c>
      <c r="F60" s="41" t="s">
        <v>2050</v>
      </c>
      <c r="G60" s="41"/>
      <c r="H60" s="41"/>
      <c r="I60" s="41" t="s">
        <v>1650</v>
      </c>
      <c r="J60" s="41" t="s">
        <v>1877</v>
      </c>
      <c r="K60" s="41"/>
      <c r="L60" s="41"/>
      <c r="M60" s="59"/>
      <c r="N60" s="41">
        <v>127</v>
      </c>
      <c r="O60" s="76">
        <f t="shared" si="0"/>
        <v>74.13333333333334</v>
      </c>
      <c r="P60" s="41"/>
      <c r="Q60" s="41" t="s">
        <v>2174</v>
      </c>
    </row>
    <row r="61" spans="1:17" hidden="1" x14ac:dyDescent="0.25">
      <c r="A61" s="41"/>
      <c r="B61" s="41">
        <v>1069</v>
      </c>
      <c r="C61" s="250">
        <v>44086</v>
      </c>
      <c r="D61" s="41" t="s">
        <v>2154</v>
      </c>
      <c r="E61" s="41" t="s">
        <v>532</v>
      </c>
      <c r="F61" s="41" t="s">
        <v>2050</v>
      </c>
      <c r="G61" s="41"/>
      <c r="H61" s="41"/>
      <c r="I61" s="41" t="s">
        <v>1650</v>
      </c>
      <c r="J61" s="41" t="s">
        <v>1877</v>
      </c>
      <c r="K61" s="41"/>
      <c r="L61" s="41"/>
      <c r="M61" s="59"/>
      <c r="N61" s="41">
        <v>25</v>
      </c>
      <c r="O61" s="76">
        <f t="shared" si="0"/>
        <v>74.550000000000011</v>
      </c>
      <c r="P61" s="41"/>
      <c r="Q61" s="41" t="s">
        <v>2176</v>
      </c>
    </row>
    <row r="62" spans="1:17" hidden="1" x14ac:dyDescent="0.25">
      <c r="A62" s="41"/>
      <c r="B62" s="41">
        <v>1070</v>
      </c>
      <c r="C62" s="250">
        <v>44086</v>
      </c>
      <c r="D62" s="41" t="s">
        <v>2154</v>
      </c>
      <c r="E62" s="41" t="s">
        <v>532</v>
      </c>
      <c r="F62" s="41" t="s">
        <v>2077</v>
      </c>
      <c r="G62" s="41" t="s">
        <v>1830</v>
      </c>
      <c r="H62" s="41">
        <v>100</v>
      </c>
      <c r="I62" s="41" t="s">
        <v>1650</v>
      </c>
      <c r="J62" s="41" t="s">
        <v>1877</v>
      </c>
      <c r="K62" s="41"/>
      <c r="L62" s="41"/>
      <c r="M62" s="59"/>
      <c r="N62" s="41">
        <v>45</v>
      </c>
      <c r="O62" s="76">
        <f t="shared" si="0"/>
        <v>75.300000000000011</v>
      </c>
      <c r="P62" s="41"/>
      <c r="Q62" s="41" t="s">
        <v>2175</v>
      </c>
    </row>
    <row r="63" spans="1:17" hidden="1" x14ac:dyDescent="0.25">
      <c r="A63" s="41"/>
      <c r="B63" s="41">
        <v>1071</v>
      </c>
      <c r="C63" s="250">
        <v>44087</v>
      </c>
      <c r="D63" s="41" t="s">
        <v>2154</v>
      </c>
      <c r="E63" s="41" t="s">
        <v>532</v>
      </c>
      <c r="F63" s="41" t="s">
        <v>2050</v>
      </c>
      <c r="G63" s="41"/>
      <c r="H63" s="41"/>
      <c r="I63" s="41" t="s">
        <v>1650</v>
      </c>
      <c r="J63" s="41" t="s">
        <v>1877</v>
      </c>
      <c r="K63" s="41"/>
      <c r="L63" s="41"/>
      <c r="M63" s="59"/>
      <c r="N63" s="41">
        <v>125</v>
      </c>
      <c r="O63" s="76">
        <f t="shared" si="0"/>
        <v>77.38333333333334</v>
      </c>
      <c r="P63" s="41"/>
      <c r="Q63" s="41" t="s">
        <v>2177</v>
      </c>
    </row>
    <row r="64" spans="1:17" x14ac:dyDescent="0.25">
      <c r="A64" s="41"/>
      <c r="B64" s="41">
        <v>1072</v>
      </c>
      <c r="C64" s="250">
        <v>44104</v>
      </c>
      <c r="D64" s="41" t="s">
        <v>1797</v>
      </c>
      <c r="E64" s="41" t="s">
        <v>532</v>
      </c>
      <c r="F64" s="41" t="s">
        <v>2050</v>
      </c>
      <c r="G64" s="41" t="s">
        <v>1830</v>
      </c>
      <c r="H64" s="41">
        <v>700</v>
      </c>
      <c r="I64" s="41" t="s">
        <v>1650</v>
      </c>
      <c r="J64" s="41" t="s">
        <v>1877</v>
      </c>
      <c r="K64" s="41"/>
      <c r="L64" s="41"/>
      <c r="M64" s="59">
        <v>0.5625</v>
      </c>
      <c r="N64" s="41">
        <v>140</v>
      </c>
      <c r="O64" s="76">
        <f t="shared" si="0"/>
        <v>79.716666666666669</v>
      </c>
      <c r="P64" s="41"/>
      <c r="Q64" s="41" t="s">
        <v>2187</v>
      </c>
    </row>
    <row r="65" spans="1:17" x14ac:dyDescent="0.25">
      <c r="A65" s="41"/>
      <c r="B65" s="41">
        <v>1073</v>
      </c>
      <c r="C65" s="250">
        <v>44128</v>
      </c>
      <c r="D65" s="41" t="s">
        <v>1797</v>
      </c>
      <c r="E65" s="41" t="s">
        <v>532</v>
      </c>
      <c r="F65" s="41" t="s">
        <v>1836</v>
      </c>
      <c r="G65" s="41" t="s">
        <v>2189</v>
      </c>
      <c r="H65" s="41">
        <v>1100</v>
      </c>
      <c r="I65" s="41" t="s">
        <v>1650</v>
      </c>
      <c r="J65" s="41" t="s">
        <v>1877</v>
      </c>
      <c r="K65" s="41"/>
      <c r="L65" s="41"/>
      <c r="M65" s="59">
        <v>0.5625</v>
      </c>
      <c r="N65" s="41">
        <v>90</v>
      </c>
      <c r="O65" s="76">
        <f t="shared" si="0"/>
        <v>81.216666666666669</v>
      </c>
      <c r="P65" s="41"/>
      <c r="Q65" s="41" t="s">
        <v>2190</v>
      </c>
    </row>
    <row r="66" spans="1:17" x14ac:dyDescent="0.25">
      <c r="A66" s="41"/>
      <c r="B66" s="41">
        <v>1074</v>
      </c>
      <c r="C66" s="250">
        <v>44133</v>
      </c>
      <c r="D66" s="41" t="s">
        <v>1797</v>
      </c>
      <c r="E66" s="41" t="s">
        <v>532</v>
      </c>
      <c r="F66" s="41" t="s">
        <v>1836</v>
      </c>
      <c r="G66" s="41" t="s">
        <v>1830</v>
      </c>
      <c r="H66" s="41">
        <v>1100</v>
      </c>
      <c r="I66" s="41" t="s">
        <v>1650</v>
      </c>
      <c r="J66" s="41" t="s">
        <v>1877</v>
      </c>
      <c r="K66" s="41"/>
      <c r="L66" s="41"/>
      <c r="M66" s="59">
        <v>0.58333333333333337</v>
      </c>
      <c r="N66" s="41">
        <v>90</v>
      </c>
      <c r="O66" s="76">
        <f t="shared" si="0"/>
        <v>82.716666666666669</v>
      </c>
      <c r="P66" s="41"/>
      <c r="Q66" s="41" t="s">
        <v>2191</v>
      </c>
    </row>
  </sheetData>
  <autoFilter ref="A1:Q66">
    <filterColumn colId="3">
      <filters>
        <filter val="Nevada 2 - 24"/>
      </filters>
    </filterColumn>
  </autoFilter>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5"/>
  <sheetViews>
    <sheetView zoomScale="85" zoomScaleNormal="85" workbookViewId="0">
      <selection activeCell="V15" sqref="V15"/>
    </sheetView>
  </sheetViews>
  <sheetFormatPr baseColWidth="10" defaultColWidth="8.88671875" defaultRowHeight="13.2" x14ac:dyDescent="0.25"/>
  <cols>
    <col min="1" max="1" width="2.44140625" bestFit="1" customWidth="1"/>
    <col min="2" max="2" width="13" customWidth="1"/>
    <col min="3" max="3" width="2.44140625" bestFit="1" customWidth="1"/>
    <col min="4" max="5" width="13" customWidth="1"/>
    <col min="6" max="6" width="2.44140625" bestFit="1" customWidth="1"/>
    <col min="7" max="7" width="13" customWidth="1"/>
    <col min="8" max="8" width="2.44140625" bestFit="1" customWidth="1"/>
    <col min="9" max="9" width="13" customWidth="1"/>
    <col min="10" max="10" width="2.44140625" bestFit="1" customWidth="1"/>
    <col min="11" max="12" width="13" customWidth="1"/>
    <col min="13" max="13" width="2.44140625" bestFit="1" customWidth="1"/>
    <col min="14" max="15" width="13" customWidth="1"/>
    <col min="16" max="16" width="2.44140625" bestFit="1" customWidth="1"/>
    <col min="17" max="17" width="13" customWidth="1"/>
    <col min="18" max="18" width="2.44140625" bestFit="1" customWidth="1"/>
    <col min="19" max="19" width="13" customWidth="1"/>
    <col min="20" max="20" width="2.44140625" bestFit="1" customWidth="1"/>
    <col min="21" max="22" width="13" customWidth="1"/>
    <col min="23" max="23" width="2.44140625" bestFit="1" customWidth="1"/>
    <col min="24" max="24" width="13" customWidth="1"/>
    <col min="25" max="25" width="2.44140625" bestFit="1" customWidth="1"/>
    <col min="26" max="26" width="13" customWidth="1"/>
    <col min="27" max="27" width="2.44140625" bestFit="1" customWidth="1"/>
    <col min="28" max="28" width="13" customWidth="1"/>
    <col min="29" max="29" width="6.109375" bestFit="1" customWidth="1"/>
    <col min="261" max="261" width="2.44140625" bestFit="1" customWidth="1"/>
    <col min="262" max="262" width="13" customWidth="1"/>
    <col min="263" max="263" width="2.44140625" bestFit="1" customWidth="1"/>
    <col min="264" max="264" width="13" customWidth="1"/>
    <col min="265" max="265" width="2.44140625" bestFit="1" customWidth="1"/>
    <col min="266" max="266" width="13" customWidth="1"/>
    <col min="267" max="267" width="2.44140625" bestFit="1" customWidth="1"/>
    <col min="268" max="268" width="13" customWidth="1"/>
    <col min="269" max="269" width="2.44140625" bestFit="1" customWidth="1"/>
    <col min="270" max="270" width="13" customWidth="1"/>
    <col min="271" max="271" width="2.44140625" bestFit="1" customWidth="1"/>
    <col min="272" max="272" width="13" customWidth="1"/>
    <col min="273" max="273" width="2.44140625" bestFit="1" customWidth="1"/>
    <col min="274" max="274" width="13" customWidth="1"/>
    <col min="275" max="275" width="2.44140625" bestFit="1" customWidth="1"/>
    <col min="276" max="276" width="13" customWidth="1"/>
    <col min="277" max="277" width="2.44140625" bestFit="1" customWidth="1"/>
    <col min="278" max="278" width="13" customWidth="1"/>
    <col min="279" max="279" width="2.44140625" bestFit="1" customWidth="1"/>
    <col min="280" max="280" width="13" customWidth="1"/>
    <col min="281" max="281" width="2.44140625" bestFit="1" customWidth="1"/>
    <col min="282" max="282" width="13" customWidth="1"/>
    <col min="283" max="283" width="2.44140625" bestFit="1" customWidth="1"/>
    <col min="284" max="284" width="13" customWidth="1"/>
    <col min="285" max="285" width="6.109375" bestFit="1" customWidth="1"/>
    <col min="517" max="517" width="2.44140625" bestFit="1" customWidth="1"/>
    <col min="518" max="518" width="13" customWidth="1"/>
    <col min="519" max="519" width="2.44140625" bestFit="1" customWidth="1"/>
    <col min="520" max="520" width="13" customWidth="1"/>
    <col min="521" max="521" width="2.44140625" bestFit="1" customWidth="1"/>
    <col min="522" max="522" width="13" customWidth="1"/>
    <col min="523" max="523" width="2.44140625" bestFit="1" customWidth="1"/>
    <col min="524" max="524" width="13" customWidth="1"/>
    <col min="525" max="525" width="2.44140625" bestFit="1" customWidth="1"/>
    <col min="526" max="526" width="13" customWidth="1"/>
    <col min="527" max="527" width="2.44140625" bestFit="1" customWidth="1"/>
    <col min="528" max="528" width="13" customWidth="1"/>
    <col min="529" max="529" width="2.44140625" bestFit="1" customWidth="1"/>
    <col min="530" max="530" width="13" customWidth="1"/>
    <col min="531" max="531" width="2.44140625" bestFit="1" customWidth="1"/>
    <col min="532" max="532" width="13" customWidth="1"/>
    <col min="533" max="533" width="2.44140625" bestFit="1" customWidth="1"/>
    <col min="534" max="534" width="13" customWidth="1"/>
    <col min="535" max="535" width="2.44140625" bestFit="1" customWidth="1"/>
    <col min="536" max="536" width="13" customWidth="1"/>
    <col min="537" max="537" width="2.44140625" bestFit="1" customWidth="1"/>
    <col min="538" max="538" width="13" customWidth="1"/>
    <col min="539" max="539" width="2.44140625" bestFit="1" customWidth="1"/>
    <col min="540" max="540" width="13" customWidth="1"/>
    <col min="541" max="541" width="6.109375" bestFit="1" customWidth="1"/>
    <col min="773" max="773" width="2.44140625" bestFit="1" customWidth="1"/>
    <col min="774" max="774" width="13" customWidth="1"/>
    <col min="775" max="775" width="2.44140625" bestFit="1" customWidth="1"/>
    <col min="776" max="776" width="13" customWidth="1"/>
    <col min="777" max="777" width="2.44140625" bestFit="1" customWidth="1"/>
    <col min="778" max="778" width="13" customWidth="1"/>
    <col min="779" max="779" width="2.44140625" bestFit="1" customWidth="1"/>
    <col min="780" max="780" width="13" customWidth="1"/>
    <col min="781" max="781" width="2.44140625" bestFit="1" customWidth="1"/>
    <col min="782" max="782" width="13" customWidth="1"/>
    <col min="783" max="783" width="2.44140625" bestFit="1" customWidth="1"/>
    <col min="784" max="784" width="13" customWidth="1"/>
    <col min="785" max="785" width="2.44140625" bestFit="1" customWidth="1"/>
    <col min="786" max="786" width="13" customWidth="1"/>
    <col min="787" max="787" width="2.44140625" bestFit="1" customWidth="1"/>
    <col min="788" max="788" width="13" customWidth="1"/>
    <col min="789" max="789" width="2.44140625" bestFit="1" customWidth="1"/>
    <col min="790" max="790" width="13" customWidth="1"/>
    <col min="791" max="791" width="2.44140625" bestFit="1" customWidth="1"/>
    <col min="792" max="792" width="13" customWidth="1"/>
    <col min="793" max="793" width="2.44140625" bestFit="1" customWidth="1"/>
    <col min="794" max="794" width="13" customWidth="1"/>
    <col min="795" max="795" width="2.44140625" bestFit="1" customWidth="1"/>
    <col min="796" max="796" width="13" customWidth="1"/>
    <col min="797" max="797" width="6.109375" bestFit="1" customWidth="1"/>
    <col min="1029" max="1029" width="2.44140625" bestFit="1" customWidth="1"/>
    <col min="1030" max="1030" width="13" customWidth="1"/>
    <col min="1031" max="1031" width="2.44140625" bestFit="1" customWidth="1"/>
    <col min="1032" max="1032" width="13" customWidth="1"/>
    <col min="1033" max="1033" width="2.44140625" bestFit="1" customWidth="1"/>
    <col min="1034" max="1034" width="13" customWidth="1"/>
    <col min="1035" max="1035" width="2.44140625" bestFit="1" customWidth="1"/>
    <col min="1036" max="1036" width="13" customWidth="1"/>
    <col min="1037" max="1037" width="2.44140625" bestFit="1" customWidth="1"/>
    <col min="1038" max="1038" width="13" customWidth="1"/>
    <col min="1039" max="1039" width="2.44140625" bestFit="1" customWidth="1"/>
    <col min="1040" max="1040" width="13" customWidth="1"/>
    <col min="1041" max="1041" width="2.44140625" bestFit="1" customWidth="1"/>
    <col min="1042" max="1042" width="13" customWidth="1"/>
    <col min="1043" max="1043" width="2.44140625" bestFit="1" customWidth="1"/>
    <col min="1044" max="1044" width="13" customWidth="1"/>
    <col min="1045" max="1045" width="2.44140625" bestFit="1" customWidth="1"/>
    <col min="1046" max="1046" width="13" customWidth="1"/>
    <col min="1047" max="1047" width="2.44140625" bestFit="1" customWidth="1"/>
    <col min="1048" max="1048" width="13" customWidth="1"/>
    <col min="1049" max="1049" width="2.44140625" bestFit="1" customWidth="1"/>
    <col min="1050" max="1050" width="13" customWidth="1"/>
    <col min="1051" max="1051" width="2.44140625" bestFit="1" customWidth="1"/>
    <col min="1052" max="1052" width="13" customWidth="1"/>
    <col min="1053" max="1053" width="6.109375" bestFit="1" customWidth="1"/>
    <col min="1285" max="1285" width="2.44140625" bestFit="1" customWidth="1"/>
    <col min="1286" max="1286" width="13" customWidth="1"/>
    <col min="1287" max="1287" width="2.44140625" bestFit="1" customWidth="1"/>
    <col min="1288" max="1288" width="13" customWidth="1"/>
    <col min="1289" max="1289" width="2.44140625" bestFit="1" customWidth="1"/>
    <col min="1290" max="1290" width="13" customWidth="1"/>
    <col min="1291" max="1291" width="2.44140625" bestFit="1" customWidth="1"/>
    <col min="1292" max="1292" width="13" customWidth="1"/>
    <col min="1293" max="1293" width="2.44140625" bestFit="1" customWidth="1"/>
    <col min="1294" max="1294" width="13" customWidth="1"/>
    <col min="1295" max="1295" width="2.44140625" bestFit="1" customWidth="1"/>
    <col min="1296" max="1296" width="13" customWidth="1"/>
    <col min="1297" max="1297" width="2.44140625" bestFit="1" customWidth="1"/>
    <col min="1298" max="1298" width="13" customWidth="1"/>
    <col min="1299" max="1299" width="2.44140625" bestFit="1" customWidth="1"/>
    <col min="1300" max="1300" width="13" customWidth="1"/>
    <col min="1301" max="1301" width="2.44140625" bestFit="1" customWidth="1"/>
    <col min="1302" max="1302" width="13" customWidth="1"/>
    <col min="1303" max="1303" width="2.44140625" bestFit="1" customWidth="1"/>
    <col min="1304" max="1304" width="13" customWidth="1"/>
    <col min="1305" max="1305" width="2.44140625" bestFit="1" customWidth="1"/>
    <col min="1306" max="1306" width="13" customWidth="1"/>
    <col min="1307" max="1307" width="2.44140625" bestFit="1" customWidth="1"/>
    <col min="1308" max="1308" width="13" customWidth="1"/>
    <col min="1309" max="1309" width="6.109375" bestFit="1" customWidth="1"/>
    <col min="1541" max="1541" width="2.44140625" bestFit="1" customWidth="1"/>
    <col min="1542" max="1542" width="13" customWidth="1"/>
    <col min="1543" max="1543" width="2.44140625" bestFit="1" customWidth="1"/>
    <col min="1544" max="1544" width="13" customWidth="1"/>
    <col min="1545" max="1545" width="2.44140625" bestFit="1" customWidth="1"/>
    <col min="1546" max="1546" width="13" customWidth="1"/>
    <col min="1547" max="1547" width="2.44140625" bestFit="1" customWidth="1"/>
    <col min="1548" max="1548" width="13" customWidth="1"/>
    <col min="1549" max="1549" width="2.44140625" bestFit="1" customWidth="1"/>
    <col min="1550" max="1550" width="13" customWidth="1"/>
    <col min="1551" max="1551" width="2.44140625" bestFit="1" customWidth="1"/>
    <col min="1552" max="1552" width="13" customWidth="1"/>
    <col min="1553" max="1553" width="2.44140625" bestFit="1" customWidth="1"/>
    <col min="1554" max="1554" width="13" customWidth="1"/>
    <col min="1555" max="1555" width="2.44140625" bestFit="1" customWidth="1"/>
    <col min="1556" max="1556" width="13" customWidth="1"/>
    <col min="1557" max="1557" width="2.44140625" bestFit="1" customWidth="1"/>
    <col min="1558" max="1558" width="13" customWidth="1"/>
    <col min="1559" max="1559" width="2.44140625" bestFit="1" customWidth="1"/>
    <col min="1560" max="1560" width="13" customWidth="1"/>
    <col min="1561" max="1561" width="2.44140625" bestFit="1" customWidth="1"/>
    <col min="1562" max="1562" width="13" customWidth="1"/>
    <col min="1563" max="1563" width="2.44140625" bestFit="1" customWidth="1"/>
    <col min="1564" max="1564" width="13" customWidth="1"/>
    <col min="1565" max="1565" width="6.109375" bestFit="1" customWidth="1"/>
    <col min="1797" max="1797" width="2.44140625" bestFit="1" customWidth="1"/>
    <col min="1798" max="1798" width="13" customWidth="1"/>
    <col min="1799" max="1799" width="2.44140625" bestFit="1" customWidth="1"/>
    <col min="1800" max="1800" width="13" customWidth="1"/>
    <col min="1801" max="1801" width="2.44140625" bestFit="1" customWidth="1"/>
    <col min="1802" max="1802" width="13" customWidth="1"/>
    <col min="1803" max="1803" width="2.44140625" bestFit="1" customWidth="1"/>
    <col min="1804" max="1804" width="13" customWidth="1"/>
    <col min="1805" max="1805" width="2.44140625" bestFit="1" customWidth="1"/>
    <col min="1806" max="1806" width="13" customWidth="1"/>
    <col min="1807" max="1807" width="2.44140625" bestFit="1" customWidth="1"/>
    <col min="1808" max="1808" width="13" customWidth="1"/>
    <col min="1809" max="1809" width="2.44140625" bestFit="1" customWidth="1"/>
    <col min="1810" max="1810" width="13" customWidth="1"/>
    <col min="1811" max="1811" width="2.44140625" bestFit="1" customWidth="1"/>
    <col min="1812" max="1812" width="13" customWidth="1"/>
    <col min="1813" max="1813" width="2.44140625" bestFit="1" customWidth="1"/>
    <col min="1814" max="1814" width="13" customWidth="1"/>
    <col min="1815" max="1815" width="2.44140625" bestFit="1" customWidth="1"/>
    <col min="1816" max="1816" width="13" customWidth="1"/>
    <col min="1817" max="1817" width="2.44140625" bestFit="1" customWidth="1"/>
    <col min="1818" max="1818" width="13" customWidth="1"/>
    <col min="1819" max="1819" width="2.44140625" bestFit="1" customWidth="1"/>
    <col min="1820" max="1820" width="13" customWidth="1"/>
    <col min="1821" max="1821" width="6.109375" bestFit="1" customWidth="1"/>
    <col min="2053" max="2053" width="2.44140625" bestFit="1" customWidth="1"/>
    <col min="2054" max="2054" width="13" customWidth="1"/>
    <col min="2055" max="2055" width="2.44140625" bestFit="1" customWidth="1"/>
    <col min="2056" max="2056" width="13" customWidth="1"/>
    <col min="2057" max="2057" width="2.44140625" bestFit="1" customWidth="1"/>
    <col min="2058" max="2058" width="13" customWidth="1"/>
    <col min="2059" max="2059" width="2.44140625" bestFit="1" customWidth="1"/>
    <col min="2060" max="2060" width="13" customWidth="1"/>
    <col min="2061" max="2061" width="2.44140625" bestFit="1" customWidth="1"/>
    <col min="2062" max="2062" width="13" customWidth="1"/>
    <col min="2063" max="2063" width="2.44140625" bestFit="1" customWidth="1"/>
    <col min="2064" max="2064" width="13" customWidth="1"/>
    <col min="2065" max="2065" width="2.44140625" bestFit="1" customWidth="1"/>
    <col min="2066" max="2066" width="13" customWidth="1"/>
    <col min="2067" max="2067" width="2.44140625" bestFit="1" customWidth="1"/>
    <col min="2068" max="2068" width="13" customWidth="1"/>
    <col min="2069" max="2069" width="2.44140625" bestFit="1" customWidth="1"/>
    <col min="2070" max="2070" width="13" customWidth="1"/>
    <col min="2071" max="2071" width="2.44140625" bestFit="1" customWidth="1"/>
    <col min="2072" max="2072" width="13" customWidth="1"/>
    <col min="2073" max="2073" width="2.44140625" bestFit="1" customWidth="1"/>
    <col min="2074" max="2074" width="13" customWidth="1"/>
    <col min="2075" max="2075" width="2.44140625" bestFit="1" customWidth="1"/>
    <col min="2076" max="2076" width="13" customWidth="1"/>
    <col min="2077" max="2077" width="6.109375" bestFit="1" customWidth="1"/>
    <col min="2309" max="2309" width="2.44140625" bestFit="1" customWidth="1"/>
    <col min="2310" max="2310" width="13" customWidth="1"/>
    <col min="2311" max="2311" width="2.44140625" bestFit="1" customWidth="1"/>
    <col min="2312" max="2312" width="13" customWidth="1"/>
    <col min="2313" max="2313" width="2.44140625" bestFit="1" customWidth="1"/>
    <col min="2314" max="2314" width="13" customWidth="1"/>
    <col min="2315" max="2315" width="2.44140625" bestFit="1" customWidth="1"/>
    <col min="2316" max="2316" width="13" customWidth="1"/>
    <col min="2317" max="2317" width="2.44140625" bestFit="1" customWidth="1"/>
    <col min="2318" max="2318" width="13" customWidth="1"/>
    <col min="2319" max="2319" width="2.44140625" bestFit="1" customWidth="1"/>
    <col min="2320" max="2320" width="13" customWidth="1"/>
    <col min="2321" max="2321" width="2.44140625" bestFit="1" customWidth="1"/>
    <col min="2322" max="2322" width="13" customWidth="1"/>
    <col min="2323" max="2323" width="2.44140625" bestFit="1" customWidth="1"/>
    <col min="2324" max="2324" width="13" customWidth="1"/>
    <col min="2325" max="2325" width="2.44140625" bestFit="1" customWidth="1"/>
    <col min="2326" max="2326" width="13" customWidth="1"/>
    <col min="2327" max="2327" width="2.44140625" bestFit="1" customWidth="1"/>
    <col min="2328" max="2328" width="13" customWidth="1"/>
    <col min="2329" max="2329" width="2.44140625" bestFit="1" customWidth="1"/>
    <col min="2330" max="2330" width="13" customWidth="1"/>
    <col min="2331" max="2331" width="2.44140625" bestFit="1" customWidth="1"/>
    <col min="2332" max="2332" width="13" customWidth="1"/>
    <col min="2333" max="2333" width="6.109375" bestFit="1" customWidth="1"/>
    <col min="2565" max="2565" width="2.44140625" bestFit="1" customWidth="1"/>
    <col min="2566" max="2566" width="13" customWidth="1"/>
    <col min="2567" max="2567" width="2.44140625" bestFit="1" customWidth="1"/>
    <col min="2568" max="2568" width="13" customWidth="1"/>
    <col min="2569" max="2569" width="2.44140625" bestFit="1" customWidth="1"/>
    <col min="2570" max="2570" width="13" customWidth="1"/>
    <col min="2571" max="2571" width="2.44140625" bestFit="1" customWidth="1"/>
    <col min="2572" max="2572" width="13" customWidth="1"/>
    <col min="2573" max="2573" width="2.44140625" bestFit="1" customWidth="1"/>
    <col min="2574" max="2574" width="13" customWidth="1"/>
    <col min="2575" max="2575" width="2.44140625" bestFit="1" customWidth="1"/>
    <col min="2576" max="2576" width="13" customWidth="1"/>
    <col min="2577" max="2577" width="2.44140625" bestFit="1" customWidth="1"/>
    <col min="2578" max="2578" width="13" customWidth="1"/>
    <col min="2579" max="2579" width="2.44140625" bestFit="1" customWidth="1"/>
    <col min="2580" max="2580" width="13" customWidth="1"/>
    <col min="2581" max="2581" width="2.44140625" bestFit="1" customWidth="1"/>
    <col min="2582" max="2582" width="13" customWidth="1"/>
    <col min="2583" max="2583" width="2.44140625" bestFit="1" customWidth="1"/>
    <col min="2584" max="2584" width="13" customWidth="1"/>
    <col min="2585" max="2585" width="2.44140625" bestFit="1" customWidth="1"/>
    <col min="2586" max="2586" width="13" customWidth="1"/>
    <col min="2587" max="2587" width="2.44140625" bestFit="1" customWidth="1"/>
    <col min="2588" max="2588" width="13" customWidth="1"/>
    <col min="2589" max="2589" width="6.109375" bestFit="1" customWidth="1"/>
    <col min="2821" max="2821" width="2.44140625" bestFit="1" customWidth="1"/>
    <col min="2822" max="2822" width="13" customWidth="1"/>
    <col min="2823" max="2823" width="2.44140625" bestFit="1" customWidth="1"/>
    <col min="2824" max="2824" width="13" customWidth="1"/>
    <col min="2825" max="2825" width="2.44140625" bestFit="1" customWidth="1"/>
    <col min="2826" max="2826" width="13" customWidth="1"/>
    <col min="2827" max="2827" width="2.44140625" bestFit="1" customWidth="1"/>
    <col min="2828" max="2828" width="13" customWidth="1"/>
    <col min="2829" max="2829" width="2.44140625" bestFit="1" customWidth="1"/>
    <col min="2830" max="2830" width="13" customWidth="1"/>
    <col min="2831" max="2831" width="2.44140625" bestFit="1" customWidth="1"/>
    <col min="2832" max="2832" width="13" customWidth="1"/>
    <col min="2833" max="2833" width="2.44140625" bestFit="1" customWidth="1"/>
    <col min="2834" max="2834" width="13" customWidth="1"/>
    <col min="2835" max="2835" width="2.44140625" bestFit="1" customWidth="1"/>
    <col min="2836" max="2836" width="13" customWidth="1"/>
    <col min="2837" max="2837" width="2.44140625" bestFit="1" customWidth="1"/>
    <col min="2838" max="2838" width="13" customWidth="1"/>
    <col min="2839" max="2839" width="2.44140625" bestFit="1" customWidth="1"/>
    <col min="2840" max="2840" width="13" customWidth="1"/>
    <col min="2841" max="2841" width="2.44140625" bestFit="1" customWidth="1"/>
    <col min="2842" max="2842" width="13" customWidth="1"/>
    <col min="2843" max="2843" width="2.44140625" bestFit="1" customWidth="1"/>
    <col min="2844" max="2844" width="13" customWidth="1"/>
    <col min="2845" max="2845" width="6.109375" bestFit="1" customWidth="1"/>
    <col min="3077" max="3077" width="2.44140625" bestFit="1" customWidth="1"/>
    <col min="3078" max="3078" width="13" customWidth="1"/>
    <col min="3079" max="3079" width="2.44140625" bestFit="1" customWidth="1"/>
    <col min="3080" max="3080" width="13" customWidth="1"/>
    <col min="3081" max="3081" width="2.44140625" bestFit="1" customWidth="1"/>
    <col min="3082" max="3082" width="13" customWidth="1"/>
    <col min="3083" max="3083" width="2.44140625" bestFit="1" customWidth="1"/>
    <col min="3084" max="3084" width="13" customWidth="1"/>
    <col min="3085" max="3085" width="2.44140625" bestFit="1" customWidth="1"/>
    <col min="3086" max="3086" width="13" customWidth="1"/>
    <col min="3087" max="3087" width="2.44140625" bestFit="1" customWidth="1"/>
    <col min="3088" max="3088" width="13" customWidth="1"/>
    <col min="3089" max="3089" width="2.44140625" bestFit="1" customWidth="1"/>
    <col min="3090" max="3090" width="13" customWidth="1"/>
    <col min="3091" max="3091" width="2.44140625" bestFit="1" customWidth="1"/>
    <col min="3092" max="3092" width="13" customWidth="1"/>
    <col min="3093" max="3093" width="2.44140625" bestFit="1" customWidth="1"/>
    <col min="3094" max="3094" width="13" customWidth="1"/>
    <col min="3095" max="3095" width="2.44140625" bestFit="1" customWidth="1"/>
    <col min="3096" max="3096" width="13" customWidth="1"/>
    <col min="3097" max="3097" width="2.44140625" bestFit="1" customWidth="1"/>
    <col min="3098" max="3098" width="13" customWidth="1"/>
    <col min="3099" max="3099" width="2.44140625" bestFit="1" customWidth="1"/>
    <col min="3100" max="3100" width="13" customWidth="1"/>
    <col min="3101" max="3101" width="6.109375" bestFit="1" customWidth="1"/>
    <col min="3333" max="3333" width="2.44140625" bestFit="1" customWidth="1"/>
    <col min="3334" max="3334" width="13" customWidth="1"/>
    <col min="3335" max="3335" width="2.44140625" bestFit="1" customWidth="1"/>
    <col min="3336" max="3336" width="13" customWidth="1"/>
    <col min="3337" max="3337" width="2.44140625" bestFit="1" customWidth="1"/>
    <col min="3338" max="3338" width="13" customWidth="1"/>
    <col min="3339" max="3339" width="2.44140625" bestFit="1" customWidth="1"/>
    <col min="3340" max="3340" width="13" customWidth="1"/>
    <col min="3341" max="3341" width="2.44140625" bestFit="1" customWidth="1"/>
    <col min="3342" max="3342" width="13" customWidth="1"/>
    <col min="3343" max="3343" width="2.44140625" bestFit="1" customWidth="1"/>
    <col min="3344" max="3344" width="13" customWidth="1"/>
    <col min="3345" max="3345" width="2.44140625" bestFit="1" customWidth="1"/>
    <col min="3346" max="3346" width="13" customWidth="1"/>
    <col min="3347" max="3347" width="2.44140625" bestFit="1" customWidth="1"/>
    <col min="3348" max="3348" width="13" customWidth="1"/>
    <col min="3349" max="3349" width="2.44140625" bestFit="1" customWidth="1"/>
    <col min="3350" max="3350" width="13" customWidth="1"/>
    <col min="3351" max="3351" width="2.44140625" bestFit="1" customWidth="1"/>
    <col min="3352" max="3352" width="13" customWidth="1"/>
    <col min="3353" max="3353" width="2.44140625" bestFit="1" customWidth="1"/>
    <col min="3354" max="3354" width="13" customWidth="1"/>
    <col min="3355" max="3355" width="2.44140625" bestFit="1" customWidth="1"/>
    <col min="3356" max="3356" width="13" customWidth="1"/>
    <col min="3357" max="3357" width="6.109375" bestFit="1" customWidth="1"/>
    <col min="3589" max="3589" width="2.44140625" bestFit="1" customWidth="1"/>
    <col min="3590" max="3590" width="13" customWidth="1"/>
    <col min="3591" max="3591" width="2.44140625" bestFit="1" customWidth="1"/>
    <col min="3592" max="3592" width="13" customWidth="1"/>
    <col min="3593" max="3593" width="2.44140625" bestFit="1" customWidth="1"/>
    <col min="3594" max="3594" width="13" customWidth="1"/>
    <col min="3595" max="3595" width="2.44140625" bestFit="1" customWidth="1"/>
    <col min="3596" max="3596" width="13" customWidth="1"/>
    <col min="3597" max="3597" width="2.44140625" bestFit="1" customWidth="1"/>
    <col min="3598" max="3598" width="13" customWidth="1"/>
    <col min="3599" max="3599" width="2.44140625" bestFit="1" customWidth="1"/>
    <col min="3600" max="3600" width="13" customWidth="1"/>
    <col min="3601" max="3601" width="2.44140625" bestFit="1" customWidth="1"/>
    <col min="3602" max="3602" width="13" customWidth="1"/>
    <col min="3603" max="3603" width="2.44140625" bestFit="1" customWidth="1"/>
    <col min="3604" max="3604" width="13" customWidth="1"/>
    <col min="3605" max="3605" width="2.44140625" bestFit="1" customWidth="1"/>
    <col min="3606" max="3606" width="13" customWidth="1"/>
    <col min="3607" max="3607" width="2.44140625" bestFit="1" customWidth="1"/>
    <col min="3608" max="3608" width="13" customWidth="1"/>
    <col min="3609" max="3609" width="2.44140625" bestFit="1" customWidth="1"/>
    <col min="3610" max="3610" width="13" customWidth="1"/>
    <col min="3611" max="3611" width="2.44140625" bestFit="1" customWidth="1"/>
    <col min="3612" max="3612" width="13" customWidth="1"/>
    <col min="3613" max="3613" width="6.109375" bestFit="1" customWidth="1"/>
    <col min="3845" max="3845" width="2.44140625" bestFit="1" customWidth="1"/>
    <col min="3846" max="3846" width="13" customWidth="1"/>
    <col min="3847" max="3847" width="2.44140625" bestFit="1" customWidth="1"/>
    <col min="3848" max="3848" width="13" customWidth="1"/>
    <col min="3849" max="3849" width="2.44140625" bestFit="1" customWidth="1"/>
    <col min="3850" max="3850" width="13" customWidth="1"/>
    <col min="3851" max="3851" width="2.44140625" bestFit="1" customWidth="1"/>
    <col min="3852" max="3852" width="13" customWidth="1"/>
    <col min="3853" max="3853" width="2.44140625" bestFit="1" customWidth="1"/>
    <col min="3854" max="3854" width="13" customWidth="1"/>
    <col min="3855" max="3855" width="2.44140625" bestFit="1" customWidth="1"/>
    <col min="3856" max="3856" width="13" customWidth="1"/>
    <col min="3857" max="3857" width="2.44140625" bestFit="1" customWidth="1"/>
    <col min="3858" max="3858" width="13" customWidth="1"/>
    <col min="3859" max="3859" width="2.44140625" bestFit="1" customWidth="1"/>
    <col min="3860" max="3860" width="13" customWidth="1"/>
    <col min="3861" max="3861" width="2.44140625" bestFit="1" customWidth="1"/>
    <col min="3862" max="3862" width="13" customWidth="1"/>
    <col min="3863" max="3863" width="2.44140625" bestFit="1" customWidth="1"/>
    <col min="3864" max="3864" width="13" customWidth="1"/>
    <col min="3865" max="3865" width="2.44140625" bestFit="1" customWidth="1"/>
    <col min="3866" max="3866" width="13" customWidth="1"/>
    <col min="3867" max="3867" width="2.44140625" bestFit="1" customWidth="1"/>
    <col min="3868" max="3868" width="13" customWidth="1"/>
    <col min="3869" max="3869" width="6.109375" bestFit="1" customWidth="1"/>
    <col min="4101" max="4101" width="2.44140625" bestFit="1" customWidth="1"/>
    <col min="4102" max="4102" width="13" customWidth="1"/>
    <col min="4103" max="4103" width="2.44140625" bestFit="1" customWidth="1"/>
    <col min="4104" max="4104" width="13" customWidth="1"/>
    <col min="4105" max="4105" width="2.44140625" bestFit="1" customWidth="1"/>
    <col min="4106" max="4106" width="13" customWidth="1"/>
    <col min="4107" max="4107" width="2.44140625" bestFit="1" customWidth="1"/>
    <col min="4108" max="4108" width="13" customWidth="1"/>
    <col min="4109" max="4109" width="2.44140625" bestFit="1" customWidth="1"/>
    <col min="4110" max="4110" width="13" customWidth="1"/>
    <col min="4111" max="4111" width="2.44140625" bestFit="1" customWidth="1"/>
    <col min="4112" max="4112" width="13" customWidth="1"/>
    <col min="4113" max="4113" width="2.44140625" bestFit="1" customWidth="1"/>
    <col min="4114" max="4114" width="13" customWidth="1"/>
    <col min="4115" max="4115" width="2.44140625" bestFit="1" customWidth="1"/>
    <col min="4116" max="4116" width="13" customWidth="1"/>
    <col min="4117" max="4117" width="2.44140625" bestFit="1" customWidth="1"/>
    <col min="4118" max="4118" width="13" customWidth="1"/>
    <col min="4119" max="4119" width="2.44140625" bestFit="1" customWidth="1"/>
    <col min="4120" max="4120" width="13" customWidth="1"/>
    <col min="4121" max="4121" width="2.44140625" bestFit="1" customWidth="1"/>
    <col min="4122" max="4122" width="13" customWidth="1"/>
    <col min="4123" max="4123" width="2.44140625" bestFit="1" customWidth="1"/>
    <col min="4124" max="4124" width="13" customWidth="1"/>
    <col min="4125" max="4125" width="6.109375" bestFit="1" customWidth="1"/>
    <col min="4357" max="4357" width="2.44140625" bestFit="1" customWidth="1"/>
    <col min="4358" max="4358" width="13" customWidth="1"/>
    <col min="4359" max="4359" width="2.44140625" bestFit="1" customWidth="1"/>
    <col min="4360" max="4360" width="13" customWidth="1"/>
    <col min="4361" max="4361" width="2.44140625" bestFit="1" customWidth="1"/>
    <col min="4362" max="4362" width="13" customWidth="1"/>
    <col min="4363" max="4363" width="2.44140625" bestFit="1" customWidth="1"/>
    <col min="4364" max="4364" width="13" customWidth="1"/>
    <col min="4365" max="4365" width="2.44140625" bestFit="1" customWidth="1"/>
    <col min="4366" max="4366" width="13" customWidth="1"/>
    <col min="4367" max="4367" width="2.44140625" bestFit="1" customWidth="1"/>
    <col min="4368" max="4368" width="13" customWidth="1"/>
    <col min="4369" max="4369" width="2.44140625" bestFit="1" customWidth="1"/>
    <col min="4370" max="4370" width="13" customWidth="1"/>
    <col min="4371" max="4371" width="2.44140625" bestFit="1" customWidth="1"/>
    <col min="4372" max="4372" width="13" customWidth="1"/>
    <col min="4373" max="4373" width="2.44140625" bestFit="1" customWidth="1"/>
    <col min="4374" max="4374" width="13" customWidth="1"/>
    <col min="4375" max="4375" width="2.44140625" bestFit="1" customWidth="1"/>
    <col min="4376" max="4376" width="13" customWidth="1"/>
    <col min="4377" max="4377" width="2.44140625" bestFit="1" customWidth="1"/>
    <col min="4378" max="4378" width="13" customWidth="1"/>
    <col min="4379" max="4379" width="2.44140625" bestFit="1" customWidth="1"/>
    <col min="4380" max="4380" width="13" customWidth="1"/>
    <col min="4381" max="4381" width="6.109375" bestFit="1" customWidth="1"/>
    <col min="4613" max="4613" width="2.44140625" bestFit="1" customWidth="1"/>
    <col min="4614" max="4614" width="13" customWidth="1"/>
    <col min="4615" max="4615" width="2.44140625" bestFit="1" customWidth="1"/>
    <col min="4616" max="4616" width="13" customWidth="1"/>
    <col min="4617" max="4617" width="2.44140625" bestFit="1" customWidth="1"/>
    <col min="4618" max="4618" width="13" customWidth="1"/>
    <col min="4619" max="4619" width="2.44140625" bestFit="1" customWidth="1"/>
    <col min="4620" max="4620" width="13" customWidth="1"/>
    <col min="4621" max="4621" width="2.44140625" bestFit="1" customWidth="1"/>
    <col min="4622" max="4622" width="13" customWidth="1"/>
    <col min="4623" max="4623" width="2.44140625" bestFit="1" customWidth="1"/>
    <col min="4624" max="4624" width="13" customWidth="1"/>
    <col min="4625" max="4625" width="2.44140625" bestFit="1" customWidth="1"/>
    <col min="4626" max="4626" width="13" customWidth="1"/>
    <col min="4627" max="4627" width="2.44140625" bestFit="1" customWidth="1"/>
    <col min="4628" max="4628" width="13" customWidth="1"/>
    <col min="4629" max="4629" width="2.44140625" bestFit="1" customWidth="1"/>
    <col min="4630" max="4630" width="13" customWidth="1"/>
    <col min="4631" max="4631" width="2.44140625" bestFit="1" customWidth="1"/>
    <col min="4632" max="4632" width="13" customWidth="1"/>
    <col min="4633" max="4633" width="2.44140625" bestFit="1" customWidth="1"/>
    <col min="4634" max="4634" width="13" customWidth="1"/>
    <col min="4635" max="4635" width="2.44140625" bestFit="1" customWidth="1"/>
    <col min="4636" max="4636" width="13" customWidth="1"/>
    <col min="4637" max="4637" width="6.109375" bestFit="1" customWidth="1"/>
    <col min="4869" max="4869" width="2.44140625" bestFit="1" customWidth="1"/>
    <col min="4870" max="4870" width="13" customWidth="1"/>
    <col min="4871" max="4871" width="2.44140625" bestFit="1" customWidth="1"/>
    <col min="4872" max="4872" width="13" customWidth="1"/>
    <col min="4873" max="4873" width="2.44140625" bestFit="1" customWidth="1"/>
    <col min="4874" max="4874" width="13" customWidth="1"/>
    <col min="4875" max="4875" width="2.44140625" bestFit="1" customWidth="1"/>
    <col min="4876" max="4876" width="13" customWidth="1"/>
    <col min="4877" max="4877" width="2.44140625" bestFit="1" customWidth="1"/>
    <col min="4878" max="4878" width="13" customWidth="1"/>
    <col min="4879" max="4879" width="2.44140625" bestFit="1" customWidth="1"/>
    <col min="4880" max="4880" width="13" customWidth="1"/>
    <col min="4881" max="4881" width="2.44140625" bestFit="1" customWidth="1"/>
    <col min="4882" max="4882" width="13" customWidth="1"/>
    <col min="4883" max="4883" width="2.44140625" bestFit="1" customWidth="1"/>
    <col min="4884" max="4884" width="13" customWidth="1"/>
    <col min="4885" max="4885" width="2.44140625" bestFit="1" customWidth="1"/>
    <col min="4886" max="4886" width="13" customWidth="1"/>
    <col min="4887" max="4887" width="2.44140625" bestFit="1" customWidth="1"/>
    <col min="4888" max="4888" width="13" customWidth="1"/>
    <col min="4889" max="4889" width="2.44140625" bestFit="1" customWidth="1"/>
    <col min="4890" max="4890" width="13" customWidth="1"/>
    <col min="4891" max="4891" width="2.44140625" bestFit="1" customWidth="1"/>
    <col min="4892" max="4892" width="13" customWidth="1"/>
    <col min="4893" max="4893" width="6.109375" bestFit="1" customWidth="1"/>
    <col min="5125" max="5125" width="2.44140625" bestFit="1" customWidth="1"/>
    <col min="5126" max="5126" width="13" customWidth="1"/>
    <col min="5127" max="5127" width="2.44140625" bestFit="1" customWidth="1"/>
    <col min="5128" max="5128" width="13" customWidth="1"/>
    <col min="5129" max="5129" width="2.44140625" bestFit="1" customWidth="1"/>
    <col min="5130" max="5130" width="13" customWidth="1"/>
    <col min="5131" max="5131" width="2.44140625" bestFit="1" customWidth="1"/>
    <col min="5132" max="5132" width="13" customWidth="1"/>
    <col min="5133" max="5133" width="2.44140625" bestFit="1" customWidth="1"/>
    <col min="5134" max="5134" width="13" customWidth="1"/>
    <col min="5135" max="5135" width="2.44140625" bestFit="1" customWidth="1"/>
    <col min="5136" max="5136" width="13" customWidth="1"/>
    <col min="5137" max="5137" width="2.44140625" bestFit="1" customWidth="1"/>
    <col min="5138" max="5138" width="13" customWidth="1"/>
    <col min="5139" max="5139" width="2.44140625" bestFit="1" customWidth="1"/>
    <col min="5140" max="5140" width="13" customWidth="1"/>
    <col min="5141" max="5141" width="2.44140625" bestFit="1" customWidth="1"/>
    <col min="5142" max="5142" width="13" customWidth="1"/>
    <col min="5143" max="5143" width="2.44140625" bestFit="1" customWidth="1"/>
    <col min="5144" max="5144" width="13" customWidth="1"/>
    <col min="5145" max="5145" width="2.44140625" bestFit="1" customWidth="1"/>
    <col min="5146" max="5146" width="13" customWidth="1"/>
    <col min="5147" max="5147" width="2.44140625" bestFit="1" customWidth="1"/>
    <col min="5148" max="5148" width="13" customWidth="1"/>
    <col min="5149" max="5149" width="6.109375" bestFit="1" customWidth="1"/>
    <col min="5381" max="5381" width="2.44140625" bestFit="1" customWidth="1"/>
    <col min="5382" max="5382" width="13" customWidth="1"/>
    <col min="5383" max="5383" width="2.44140625" bestFit="1" customWidth="1"/>
    <col min="5384" max="5384" width="13" customWidth="1"/>
    <col min="5385" max="5385" width="2.44140625" bestFit="1" customWidth="1"/>
    <col min="5386" max="5386" width="13" customWidth="1"/>
    <col min="5387" max="5387" width="2.44140625" bestFit="1" customWidth="1"/>
    <col min="5388" max="5388" width="13" customWidth="1"/>
    <col min="5389" max="5389" width="2.44140625" bestFit="1" customWidth="1"/>
    <col min="5390" max="5390" width="13" customWidth="1"/>
    <col min="5391" max="5391" width="2.44140625" bestFit="1" customWidth="1"/>
    <col min="5392" max="5392" width="13" customWidth="1"/>
    <col min="5393" max="5393" width="2.44140625" bestFit="1" customWidth="1"/>
    <col min="5394" max="5394" width="13" customWidth="1"/>
    <col min="5395" max="5395" width="2.44140625" bestFit="1" customWidth="1"/>
    <col min="5396" max="5396" width="13" customWidth="1"/>
    <col min="5397" max="5397" width="2.44140625" bestFit="1" customWidth="1"/>
    <col min="5398" max="5398" width="13" customWidth="1"/>
    <col min="5399" max="5399" width="2.44140625" bestFit="1" customWidth="1"/>
    <col min="5400" max="5400" width="13" customWidth="1"/>
    <col min="5401" max="5401" width="2.44140625" bestFit="1" customWidth="1"/>
    <col min="5402" max="5402" width="13" customWidth="1"/>
    <col min="5403" max="5403" width="2.44140625" bestFit="1" customWidth="1"/>
    <col min="5404" max="5404" width="13" customWidth="1"/>
    <col min="5405" max="5405" width="6.109375" bestFit="1" customWidth="1"/>
    <col min="5637" max="5637" width="2.44140625" bestFit="1" customWidth="1"/>
    <col min="5638" max="5638" width="13" customWidth="1"/>
    <col min="5639" max="5639" width="2.44140625" bestFit="1" customWidth="1"/>
    <col min="5640" max="5640" width="13" customWidth="1"/>
    <col min="5641" max="5641" width="2.44140625" bestFit="1" customWidth="1"/>
    <col min="5642" max="5642" width="13" customWidth="1"/>
    <col min="5643" max="5643" width="2.44140625" bestFit="1" customWidth="1"/>
    <col min="5644" max="5644" width="13" customWidth="1"/>
    <col min="5645" max="5645" width="2.44140625" bestFit="1" customWidth="1"/>
    <col min="5646" max="5646" width="13" customWidth="1"/>
    <col min="5647" max="5647" width="2.44140625" bestFit="1" customWidth="1"/>
    <col min="5648" max="5648" width="13" customWidth="1"/>
    <col min="5649" max="5649" width="2.44140625" bestFit="1" customWidth="1"/>
    <col min="5650" max="5650" width="13" customWidth="1"/>
    <col min="5651" max="5651" width="2.44140625" bestFit="1" customWidth="1"/>
    <col min="5652" max="5652" width="13" customWidth="1"/>
    <col min="5653" max="5653" width="2.44140625" bestFit="1" customWidth="1"/>
    <col min="5654" max="5654" width="13" customWidth="1"/>
    <col min="5655" max="5655" width="2.44140625" bestFit="1" customWidth="1"/>
    <col min="5656" max="5656" width="13" customWidth="1"/>
    <col min="5657" max="5657" width="2.44140625" bestFit="1" customWidth="1"/>
    <col min="5658" max="5658" width="13" customWidth="1"/>
    <col min="5659" max="5659" width="2.44140625" bestFit="1" customWidth="1"/>
    <col min="5660" max="5660" width="13" customWidth="1"/>
    <col min="5661" max="5661" width="6.109375" bestFit="1" customWidth="1"/>
    <col min="5893" max="5893" width="2.44140625" bestFit="1" customWidth="1"/>
    <col min="5894" max="5894" width="13" customWidth="1"/>
    <col min="5895" max="5895" width="2.44140625" bestFit="1" customWidth="1"/>
    <col min="5896" max="5896" width="13" customWidth="1"/>
    <col min="5897" max="5897" width="2.44140625" bestFit="1" customWidth="1"/>
    <col min="5898" max="5898" width="13" customWidth="1"/>
    <col min="5899" max="5899" width="2.44140625" bestFit="1" customWidth="1"/>
    <col min="5900" max="5900" width="13" customWidth="1"/>
    <col min="5901" max="5901" width="2.44140625" bestFit="1" customWidth="1"/>
    <col min="5902" max="5902" width="13" customWidth="1"/>
    <col min="5903" max="5903" width="2.44140625" bestFit="1" customWidth="1"/>
    <col min="5904" max="5904" width="13" customWidth="1"/>
    <col min="5905" max="5905" width="2.44140625" bestFit="1" customWidth="1"/>
    <col min="5906" max="5906" width="13" customWidth="1"/>
    <col min="5907" max="5907" width="2.44140625" bestFit="1" customWidth="1"/>
    <col min="5908" max="5908" width="13" customWidth="1"/>
    <col min="5909" max="5909" width="2.44140625" bestFit="1" customWidth="1"/>
    <col min="5910" max="5910" width="13" customWidth="1"/>
    <col min="5911" max="5911" width="2.44140625" bestFit="1" customWidth="1"/>
    <col min="5912" max="5912" width="13" customWidth="1"/>
    <col min="5913" max="5913" width="2.44140625" bestFit="1" customWidth="1"/>
    <col min="5914" max="5914" width="13" customWidth="1"/>
    <col min="5915" max="5915" width="2.44140625" bestFit="1" customWidth="1"/>
    <col min="5916" max="5916" width="13" customWidth="1"/>
    <col min="5917" max="5917" width="6.109375" bestFit="1" customWidth="1"/>
    <col min="6149" max="6149" width="2.44140625" bestFit="1" customWidth="1"/>
    <col min="6150" max="6150" width="13" customWidth="1"/>
    <col min="6151" max="6151" width="2.44140625" bestFit="1" customWidth="1"/>
    <col min="6152" max="6152" width="13" customWidth="1"/>
    <col min="6153" max="6153" width="2.44140625" bestFit="1" customWidth="1"/>
    <col min="6154" max="6154" width="13" customWidth="1"/>
    <col min="6155" max="6155" width="2.44140625" bestFit="1" customWidth="1"/>
    <col min="6156" max="6156" width="13" customWidth="1"/>
    <col min="6157" max="6157" width="2.44140625" bestFit="1" customWidth="1"/>
    <col min="6158" max="6158" width="13" customWidth="1"/>
    <col min="6159" max="6159" width="2.44140625" bestFit="1" customWidth="1"/>
    <col min="6160" max="6160" width="13" customWidth="1"/>
    <col min="6161" max="6161" width="2.44140625" bestFit="1" customWidth="1"/>
    <col min="6162" max="6162" width="13" customWidth="1"/>
    <col min="6163" max="6163" width="2.44140625" bestFit="1" customWidth="1"/>
    <col min="6164" max="6164" width="13" customWidth="1"/>
    <col min="6165" max="6165" width="2.44140625" bestFit="1" customWidth="1"/>
    <col min="6166" max="6166" width="13" customWidth="1"/>
    <col min="6167" max="6167" width="2.44140625" bestFit="1" customWidth="1"/>
    <col min="6168" max="6168" width="13" customWidth="1"/>
    <col min="6169" max="6169" width="2.44140625" bestFit="1" customWidth="1"/>
    <col min="6170" max="6170" width="13" customWidth="1"/>
    <col min="6171" max="6171" width="2.44140625" bestFit="1" customWidth="1"/>
    <col min="6172" max="6172" width="13" customWidth="1"/>
    <col min="6173" max="6173" width="6.109375" bestFit="1" customWidth="1"/>
    <col min="6405" max="6405" width="2.44140625" bestFit="1" customWidth="1"/>
    <col min="6406" max="6406" width="13" customWidth="1"/>
    <col min="6407" max="6407" width="2.44140625" bestFit="1" customWidth="1"/>
    <col min="6408" max="6408" width="13" customWidth="1"/>
    <col min="6409" max="6409" width="2.44140625" bestFit="1" customWidth="1"/>
    <col min="6410" max="6410" width="13" customWidth="1"/>
    <col min="6411" max="6411" width="2.44140625" bestFit="1" customWidth="1"/>
    <col min="6412" max="6412" width="13" customWidth="1"/>
    <col min="6413" max="6413" width="2.44140625" bestFit="1" customWidth="1"/>
    <col min="6414" max="6414" width="13" customWidth="1"/>
    <col min="6415" max="6415" width="2.44140625" bestFit="1" customWidth="1"/>
    <col min="6416" max="6416" width="13" customWidth="1"/>
    <col min="6417" max="6417" width="2.44140625" bestFit="1" customWidth="1"/>
    <col min="6418" max="6418" width="13" customWidth="1"/>
    <col min="6419" max="6419" width="2.44140625" bestFit="1" customWidth="1"/>
    <col min="6420" max="6420" width="13" customWidth="1"/>
    <col min="6421" max="6421" width="2.44140625" bestFit="1" customWidth="1"/>
    <col min="6422" max="6422" width="13" customWidth="1"/>
    <col min="6423" max="6423" width="2.44140625" bestFit="1" customWidth="1"/>
    <col min="6424" max="6424" width="13" customWidth="1"/>
    <col min="6425" max="6425" width="2.44140625" bestFit="1" customWidth="1"/>
    <col min="6426" max="6426" width="13" customWidth="1"/>
    <col min="6427" max="6427" width="2.44140625" bestFit="1" customWidth="1"/>
    <col min="6428" max="6428" width="13" customWidth="1"/>
    <col min="6429" max="6429" width="6.109375" bestFit="1" customWidth="1"/>
    <col min="6661" max="6661" width="2.44140625" bestFit="1" customWidth="1"/>
    <col min="6662" max="6662" width="13" customWidth="1"/>
    <col min="6663" max="6663" width="2.44140625" bestFit="1" customWidth="1"/>
    <col min="6664" max="6664" width="13" customWidth="1"/>
    <col min="6665" max="6665" width="2.44140625" bestFit="1" customWidth="1"/>
    <col min="6666" max="6666" width="13" customWidth="1"/>
    <col min="6667" max="6667" width="2.44140625" bestFit="1" customWidth="1"/>
    <col min="6668" max="6668" width="13" customWidth="1"/>
    <col min="6669" max="6669" width="2.44140625" bestFit="1" customWidth="1"/>
    <col min="6670" max="6670" width="13" customWidth="1"/>
    <col min="6671" max="6671" width="2.44140625" bestFit="1" customWidth="1"/>
    <col min="6672" max="6672" width="13" customWidth="1"/>
    <col min="6673" max="6673" width="2.44140625" bestFit="1" customWidth="1"/>
    <col min="6674" max="6674" width="13" customWidth="1"/>
    <col min="6675" max="6675" width="2.44140625" bestFit="1" customWidth="1"/>
    <col min="6676" max="6676" width="13" customWidth="1"/>
    <col min="6677" max="6677" width="2.44140625" bestFit="1" customWidth="1"/>
    <col min="6678" max="6678" width="13" customWidth="1"/>
    <col min="6679" max="6679" width="2.44140625" bestFit="1" customWidth="1"/>
    <col min="6680" max="6680" width="13" customWidth="1"/>
    <col min="6681" max="6681" width="2.44140625" bestFit="1" customWidth="1"/>
    <col min="6682" max="6682" width="13" customWidth="1"/>
    <col min="6683" max="6683" width="2.44140625" bestFit="1" customWidth="1"/>
    <col min="6684" max="6684" width="13" customWidth="1"/>
    <col min="6685" max="6685" width="6.109375" bestFit="1" customWidth="1"/>
    <col min="6917" max="6917" width="2.44140625" bestFit="1" customWidth="1"/>
    <col min="6918" max="6918" width="13" customWidth="1"/>
    <col min="6919" max="6919" width="2.44140625" bestFit="1" customWidth="1"/>
    <col min="6920" max="6920" width="13" customWidth="1"/>
    <col min="6921" max="6921" width="2.44140625" bestFit="1" customWidth="1"/>
    <col min="6922" max="6922" width="13" customWidth="1"/>
    <col min="6923" max="6923" width="2.44140625" bestFit="1" customWidth="1"/>
    <col min="6924" max="6924" width="13" customWidth="1"/>
    <col min="6925" max="6925" width="2.44140625" bestFit="1" customWidth="1"/>
    <col min="6926" max="6926" width="13" customWidth="1"/>
    <col min="6927" max="6927" width="2.44140625" bestFit="1" customWidth="1"/>
    <col min="6928" max="6928" width="13" customWidth="1"/>
    <col min="6929" max="6929" width="2.44140625" bestFit="1" customWidth="1"/>
    <col min="6930" max="6930" width="13" customWidth="1"/>
    <col min="6931" max="6931" width="2.44140625" bestFit="1" customWidth="1"/>
    <col min="6932" max="6932" width="13" customWidth="1"/>
    <col min="6933" max="6933" width="2.44140625" bestFit="1" customWidth="1"/>
    <col min="6934" max="6934" width="13" customWidth="1"/>
    <col min="6935" max="6935" width="2.44140625" bestFit="1" customWidth="1"/>
    <col min="6936" max="6936" width="13" customWidth="1"/>
    <col min="6937" max="6937" width="2.44140625" bestFit="1" customWidth="1"/>
    <col min="6938" max="6938" width="13" customWidth="1"/>
    <col min="6939" max="6939" width="2.44140625" bestFit="1" customWidth="1"/>
    <col min="6940" max="6940" width="13" customWidth="1"/>
    <col min="6941" max="6941" width="6.109375" bestFit="1" customWidth="1"/>
    <col min="7173" max="7173" width="2.44140625" bestFit="1" customWidth="1"/>
    <col min="7174" max="7174" width="13" customWidth="1"/>
    <col min="7175" max="7175" width="2.44140625" bestFit="1" customWidth="1"/>
    <col min="7176" max="7176" width="13" customWidth="1"/>
    <col min="7177" max="7177" width="2.44140625" bestFit="1" customWidth="1"/>
    <col min="7178" max="7178" width="13" customWidth="1"/>
    <col min="7179" max="7179" width="2.44140625" bestFit="1" customWidth="1"/>
    <col min="7180" max="7180" width="13" customWidth="1"/>
    <col min="7181" max="7181" width="2.44140625" bestFit="1" customWidth="1"/>
    <col min="7182" max="7182" width="13" customWidth="1"/>
    <col min="7183" max="7183" width="2.44140625" bestFit="1" customWidth="1"/>
    <col min="7184" max="7184" width="13" customWidth="1"/>
    <col min="7185" max="7185" width="2.44140625" bestFit="1" customWidth="1"/>
    <col min="7186" max="7186" width="13" customWidth="1"/>
    <col min="7187" max="7187" width="2.44140625" bestFit="1" customWidth="1"/>
    <col min="7188" max="7188" width="13" customWidth="1"/>
    <col min="7189" max="7189" width="2.44140625" bestFit="1" customWidth="1"/>
    <col min="7190" max="7190" width="13" customWidth="1"/>
    <col min="7191" max="7191" width="2.44140625" bestFit="1" customWidth="1"/>
    <col min="7192" max="7192" width="13" customWidth="1"/>
    <col min="7193" max="7193" width="2.44140625" bestFit="1" customWidth="1"/>
    <col min="7194" max="7194" width="13" customWidth="1"/>
    <col min="7195" max="7195" width="2.44140625" bestFit="1" customWidth="1"/>
    <col min="7196" max="7196" width="13" customWidth="1"/>
    <col min="7197" max="7197" width="6.109375" bestFit="1" customWidth="1"/>
    <col min="7429" max="7429" width="2.44140625" bestFit="1" customWidth="1"/>
    <col min="7430" max="7430" width="13" customWidth="1"/>
    <col min="7431" max="7431" width="2.44140625" bestFit="1" customWidth="1"/>
    <col min="7432" max="7432" width="13" customWidth="1"/>
    <col min="7433" max="7433" width="2.44140625" bestFit="1" customWidth="1"/>
    <col min="7434" max="7434" width="13" customWidth="1"/>
    <col min="7435" max="7435" width="2.44140625" bestFit="1" customWidth="1"/>
    <col min="7436" max="7436" width="13" customWidth="1"/>
    <col min="7437" max="7437" width="2.44140625" bestFit="1" customWidth="1"/>
    <col min="7438" max="7438" width="13" customWidth="1"/>
    <col min="7439" max="7439" width="2.44140625" bestFit="1" customWidth="1"/>
    <col min="7440" max="7440" width="13" customWidth="1"/>
    <col min="7441" max="7441" width="2.44140625" bestFit="1" customWidth="1"/>
    <col min="7442" max="7442" width="13" customWidth="1"/>
    <col min="7443" max="7443" width="2.44140625" bestFit="1" customWidth="1"/>
    <col min="7444" max="7444" width="13" customWidth="1"/>
    <col min="7445" max="7445" width="2.44140625" bestFit="1" customWidth="1"/>
    <col min="7446" max="7446" width="13" customWidth="1"/>
    <col min="7447" max="7447" width="2.44140625" bestFit="1" customWidth="1"/>
    <col min="7448" max="7448" width="13" customWidth="1"/>
    <col min="7449" max="7449" width="2.44140625" bestFit="1" customWidth="1"/>
    <col min="7450" max="7450" width="13" customWidth="1"/>
    <col min="7451" max="7451" width="2.44140625" bestFit="1" customWidth="1"/>
    <col min="7452" max="7452" width="13" customWidth="1"/>
    <col min="7453" max="7453" width="6.109375" bestFit="1" customWidth="1"/>
    <col min="7685" max="7685" width="2.44140625" bestFit="1" customWidth="1"/>
    <col min="7686" max="7686" width="13" customWidth="1"/>
    <col min="7687" max="7687" width="2.44140625" bestFit="1" customWidth="1"/>
    <col min="7688" max="7688" width="13" customWidth="1"/>
    <col min="7689" max="7689" width="2.44140625" bestFit="1" customWidth="1"/>
    <col min="7690" max="7690" width="13" customWidth="1"/>
    <col min="7691" max="7691" width="2.44140625" bestFit="1" customWidth="1"/>
    <col min="7692" max="7692" width="13" customWidth="1"/>
    <col min="7693" max="7693" width="2.44140625" bestFit="1" customWidth="1"/>
    <col min="7694" max="7694" width="13" customWidth="1"/>
    <col min="7695" max="7695" width="2.44140625" bestFit="1" customWidth="1"/>
    <col min="7696" max="7696" width="13" customWidth="1"/>
    <col min="7697" max="7697" width="2.44140625" bestFit="1" customWidth="1"/>
    <col min="7698" max="7698" width="13" customWidth="1"/>
    <col min="7699" max="7699" width="2.44140625" bestFit="1" customWidth="1"/>
    <col min="7700" max="7700" width="13" customWidth="1"/>
    <col min="7701" max="7701" width="2.44140625" bestFit="1" customWidth="1"/>
    <col min="7702" max="7702" width="13" customWidth="1"/>
    <col min="7703" max="7703" width="2.44140625" bestFit="1" customWidth="1"/>
    <col min="7704" max="7704" width="13" customWidth="1"/>
    <col min="7705" max="7705" width="2.44140625" bestFit="1" customWidth="1"/>
    <col min="7706" max="7706" width="13" customWidth="1"/>
    <col min="7707" max="7707" width="2.44140625" bestFit="1" customWidth="1"/>
    <col min="7708" max="7708" width="13" customWidth="1"/>
    <col min="7709" max="7709" width="6.109375" bestFit="1" customWidth="1"/>
    <col min="7941" max="7941" width="2.44140625" bestFit="1" customWidth="1"/>
    <col min="7942" max="7942" width="13" customWidth="1"/>
    <col min="7943" max="7943" width="2.44140625" bestFit="1" customWidth="1"/>
    <col min="7944" max="7944" width="13" customWidth="1"/>
    <col min="7945" max="7945" width="2.44140625" bestFit="1" customWidth="1"/>
    <col min="7946" max="7946" width="13" customWidth="1"/>
    <col min="7947" max="7947" width="2.44140625" bestFit="1" customWidth="1"/>
    <col min="7948" max="7948" width="13" customWidth="1"/>
    <col min="7949" max="7949" width="2.44140625" bestFit="1" customWidth="1"/>
    <col min="7950" max="7950" width="13" customWidth="1"/>
    <col min="7951" max="7951" width="2.44140625" bestFit="1" customWidth="1"/>
    <col min="7952" max="7952" width="13" customWidth="1"/>
    <col min="7953" max="7953" width="2.44140625" bestFit="1" customWidth="1"/>
    <col min="7954" max="7954" width="13" customWidth="1"/>
    <col min="7955" max="7955" width="2.44140625" bestFit="1" customWidth="1"/>
    <col min="7956" max="7956" width="13" customWidth="1"/>
    <col min="7957" max="7957" width="2.44140625" bestFit="1" customWidth="1"/>
    <col min="7958" max="7958" width="13" customWidth="1"/>
    <col min="7959" max="7959" width="2.44140625" bestFit="1" customWidth="1"/>
    <col min="7960" max="7960" width="13" customWidth="1"/>
    <col min="7961" max="7961" width="2.44140625" bestFit="1" customWidth="1"/>
    <col min="7962" max="7962" width="13" customWidth="1"/>
    <col min="7963" max="7963" width="2.44140625" bestFit="1" customWidth="1"/>
    <col min="7964" max="7964" width="13" customWidth="1"/>
    <col min="7965" max="7965" width="6.109375" bestFit="1" customWidth="1"/>
    <col min="8197" max="8197" width="2.44140625" bestFit="1" customWidth="1"/>
    <col min="8198" max="8198" width="13" customWidth="1"/>
    <col min="8199" max="8199" width="2.44140625" bestFit="1" customWidth="1"/>
    <col min="8200" max="8200" width="13" customWidth="1"/>
    <col min="8201" max="8201" width="2.44140625" bestFit="1" customWidth="1"/>
    <col min="8202" max="8202" width="13" customWidth="1"/>
    <col min="8203" max="8203" width="2.44140625" bestFit="1" customWidth="1"/>
    <col min="8204" max="8204" width="13" customWidth="1"/>
    <col min="8205" max="8205" width="2.44140625" bestFit="1" customWidth="1"/>
    <col min="8206" max="8206" width="13" customWidth="1"/>
    <col min="8207" max="8207" width="2.44140625" bestFit="1" customWidth="1"/>
    <col min="8208" max="8208" width="13" customWidth="1"/>
    <col min="8209" max="8209" width="2.44140625" bestFit="1" customWidth="1"/>
    <col min="8210" max="8210" width="13" customWidth="1"/>
    <col min="8211" max="8211" width="2.44140625" bestFit="1" customWidth="1"/>
    <col min="8212" max="8212" width="13" customWidth="1"/>
    <col min="8213" max="8213" width="2.44140625" bestFit="1" customWidth="1"/>
    <col min="8214" max="8214" width="13" customWidth="1"/>
    <col min="8215" max="8215" width="2.44140625" bestFit="1" customWidth="1"/>
    <col min="8216" max="8216" width="13" customWidth="1"/>
    <col min="8217" max="8217" width="2.44140625" bestFit="1" customWidth="1"/>
    <col min="8218" max="8218" width="13" customWidth="1"/>
    <col min="8219" max="8219" width="2.44140625" bestFit="1" customWidth="1"/>
    <col min="8220" max="8220" width="13" customWidth="1"/>
    <col min="8221" max="8221" width="6.109375" bestFit="1" customWidth="1"/>
    <col min="8453" max="8453" width="2.44140625" bestFit="1" customWidth="1"/>
    <col min="8454" max="8454" width="13" customWidth="1"/>
    <col min="8455" max="8455" width="2.44140625" bestFit="1" customWidth="1"/>
    <col min="8456" max="8456" width="13" customWidth="1"/>
    <col min="8457" max="8457" width="2.44140625" bestFit="1" customWidth="1"/>
    <col min="8458" max="8458" width="13" customWidth="1"/>
    <col min="8459" max="8459" width="2.44140625" bestFit="1" customWidth="1"/>
    <col min="8460" max="8460" width="13" customWidth="1"/>
    <col min="8461" max="8461" width="2.44140625" bestFit="1" customWidth="1"/>
    <col min="8462" max="8462" width="13" customWidth="1"/>
    <col min="8463" max="8463" width="2.44140625" bestFit="1" customWidth="1"/>
    <col min="8464" max="8464" width="13" customWidth="1"/>
    <col min="8465" max="8465" width="2.44140625" bestFit="1" customWidth="1"/>
    <col min="8466" max="8466" width="13" customWidth="1"/>
    <col min="8467" max="8467" width="2.44140625" bestFit="1" customWidth="1"/>
    <col min="8468" max="8468" width="13" customWidth="1"/>
    <col min="8469" max="8469" width="2.44140625" bestFit="1" customWidth="1"/>
    <col min="8470" max="8470" width="13" customWidth="1"/>
    <col min="8471" max="8471" width="2.44140625" bestFit="1" customWidth="1"/>
    <col min="8472" max="8472" width="13" customWidth="1"/>
    <col min="8473" max="8473" width="2.44140625" bestFit="1" customWidth="1"/>
    <col min="8474" max="8474" width="13" customWidth="1"/>
    <col min="8475" max="8475" width="2.44140625" bestFit="1" customWidth="1"/>
    <col min="8476" max="8476" width="13" customWidth="1"/>
    <col min="8477" max="8477" width="6.109375" bestFit="1" customWidth="1"/>
    <col min="8709" max="8709" width="2.44140625" bestFit="1" customWidth="1"/>
    <col min="8710" max="8710" width="13" customWidth="1"/>
    <col min="8711" max="8711" width="2.44140625" bestFit="1" customWidth="1"/>
    <col min="8712" max="8712" width="13" customWidth="1"/>
    <col min="8713" max="8713" width="2.44140625" bestFit="1" customWidth="1"/>
    <col min="8714" max="8714" width="13" customWidth="1"/>
    <col min="8715" max="8715" width="2.44140625" bestFit="1" customWidth="1"/>
    <col min="8716" max="8716" width="13" customWidth="1"/>
    <col min="8717" max="8717" width="2.44140625" bestFit="1" customWidth="1"/>
    <col min="8718" max="8718" width="13" customWidth="1"/>
    <col min="8719" max="8719" width="2.44140625" bestFit="1" customWidth="1"/>
    <col min="8720" max="8720" width="13" customWidth="1"/>
    <col min="8721" max="8721" width="2.44140625" bestFit="1" customWidth="1"/>
    <col min="8722" max="8722" width="13" customWidth="1"/>
    <col min="8723" max="8723" width="2.44140625" bestFit="1" customWidth="1"/>
    <col min="8724" max="8724" width="13" customWidth="1"/>
    <col min="8725" max="8725" width="2.44140625" bestFit="1" customWidth="1"/>
    <col min="8726" max="8726" width="13" customWidth="1"/>
    <col min="8727" max="8727" width="2.44140625" bestFit="1" customWidth="1"/>
    <col min="8728" max="8728" width="13" customWidth="1"/>
    <col min="8729" max="8729" width="2.44140625" bestFit="1" customWidth="1"/>
    <col min="8730" max="8730" width="13" customWidth="1"/>
    <col min="8731" max="8731" width="2.44140625" bestFit="1" customWidth="1"/>
    <col min="8732" max="8732" width="13" customWidth="1"/>
    <col min="8733" max="8733" width="6.109375" bestFit="1" customWidth="1"/>
    <col min="8965" max="8965" width="2.44140625" bestFit="1" customWidth="1"/>
    <col min="8966" max="8966" width="13" customWidth="1"/>
    <col min="8967" max="8967" width="2.44140625" bestFit="1" customWidth="1"/>
    <col min="8968" max="8968" width="13" customWidth="1"/>
    <col min="8969" max="8969" width="2.44140625" bestFit="1" customWidth="1"/>
    <col min="8970" max="8970" width="13" customWidth="1"/>
    <col min="8971" max="8971" width="2.44140625" bestFit="1" customWidth="1"/>
    <col min="8972" max="8972" width="13" customWidth="1"/>
    <col min="8973" max="8973" width="2.44140625" bestFit="1" customWidth="1"/>
    <col min="8974" max="8974" width="13" customWidth="1"/>
    <col min="8975" max="8975" width="2.44140625" bestFit="1" customWidth="1"/>
    <col min="8976" max="8976" width="13" customWidth="1"/>
    <col min="8977" max="8977" width="2.44140625" bestFit="1" customWidth="1"/>
    <col min="8978" max="8978" width="13" customWidth="1"/>
    <col min="8979" max="8979" width="2.44140625" bestFit="1" customWidth="1"/>
    <col min="8980" max="8980" width="13" customWidth="1"/>
    <col min="8981" max="8981" width="2.44140625" bestFit="1" customWidth="1"/>
    <col min="8982" max="8982" width="13" customWidth="1"/>
    <col min="8983" max="8983" width="2.44140625" bestFit="1" customWidth="1"/>
    <col min="8984" max="8984" width="13" customWidth="1"/>
    <col min="8985" max="8985" width="2.44140625" bestFit="1" customWidth="1"/>
    <col min="8986" max="8986" width="13" customWidth="1"/>
    <col min="8987" max="8987" width="2.44140625" bestFit="1" customWidth="1"/>
    <col min="8988" max="8988" width="13" customWidth="1"/>
    <col min="8989" max="8989" width="6.109375" bestFit="1" customWidth="1"/>
    <col min="9221" max="9221" width="2.44140625" bestFit="1" customWidth="1"/>
    <col min="9222" max="9222" width="13" customWidth="1"/>
    <col min="9223" max="9223" width="2.44140625" bestFit="1" customWidth="1"/>
    <col min="9224" max="9224" width="13" customWidth="1"/>
    <col min="9225" max="9225" width="2.44140625" bestFit="1" customWidth="1"/>
    <col min="9226" max="9226" width="13" customWidth="1"/>
    <col min="9227" max="9227" width="2.44140625" bestFit="1" customWidth="1"/>
    <col min="9228" max="9228" width="13" customWidth="1"/>
    <col min="9229" max="9229" width="2.44140625" bestFit="1" customWidth="1"/>
    <col min="9230" max="9230" width="13" customWidth="1"/>
    <col min="9231" max="9231" width="2.44140625" bestFit="1" customWidth="1"/>
    <col min="9232" max="9232" width="13" customWidth="1"/>
    <col min="9233" max="9233" width="2.44140625" bestFit="1" customWidth="1"/>
    <col min="9234" max="9234" width="13" customWidth="1"/>
    <col min="9235" max="9235" width="2.44140625" bestFit="1" customWidth="1"/>
    <col min="9236" max="9236" width="13" customWidth="1"/>
    <col min="9237" max="9237" width="2.44140625" bestFit="1" customWidth="1"/>
    <col min="9238" max="9238" width="13" customWidth="1"/>
    <col min="9239" max="9239" width="2.44140625" bestFit="1" customWidth="1"/>
    <col min="9240" max="9240" width="13" customWidth="1"/>
    <col min="9241" max="9241" width="2.44140625" bestFit="1" customWidth="1"/>
    <col min="9242" max="9242" width="13" customWidth="1"/>
    <col min="9243" max="9243" width="2.44140625" bestFit="1" customWidth="1"/>
    <col min="9244" max="9244" width="13" customWidth="1"/>
    <col min="9245" max="9245" width="6.109375" bestFit="1" customWidth="1"/>
    <col min="9477" max="9477" width="2.44140625" bestFit="1" customWidth="1"/>
    <col min="9478" max="9478" width="13" customWidth="1"/>
    <col min="9479" max="9479" width="2.44140625" bestFit="1" customWidth="1"/>
    <col min="9480" max="9480" width="13" customWidth="1"/>
    <col min="9481" max="9481" width="2.44140625" bestFit="1" customWidth="1"/>
    <col min="9482" max="9482" width="13" customWidth="1"/>
    <col min="9483" max="9483" width="2.44140625" bestFit="1" customWidth="1"/>
    <col min="9484" max="9484" width="13" customWidth="1"/>
    <col min="9485" max="9485" width="2.44140625" bestFit="1" customWidth="1"/>
    <col min="9486" max="9486" width="13" customWidth="1"/>
    <col min="9487" max="9487" width="2.44140625" bestFit="1" customWidth="1"/>
    <col min="9488" max="9488" width="13" customWidth="1"/>
    <col min="9489" max="9489" width="2.44140625" bestFit="1" customWidth="1"/>
    <col min="9490" max="9490" width="13" customWidth="1"/>
    <col min="9491" max="9491" width="2.44140625" bestFit="1" customWidth="1"/>
    <col min="9492" max="9492" width="13" customWidth="1"/>
    <col min="9493" max="9493" width="2.44140625" bestFit="1" customWidth="1"/>
    <col min="9494" max="9494" width="13" customWidth="1"/>
    <col min="9495" max="9495" width="2.44140625" bestFit="1" customWidth="1"/>
    <col min="9496" max="9496" width="13" customWidth="1"/>
    <col min="9497" max="9497" width="2.44140625" bestFit="1" customWidth="1"/>
    <col min="9498" max="9498" width="13" customWidth="1"/>
    <col min="9499" max="9499" width="2.44140625" bestFit="1" customWidth="1"/>
    <col min="9500" max="9500" width="13" customWidth="1"/>
    <col min="9501" max="9501" width="6.109375" bestFit="1" customWidth="1"/>
    <col min="9733" max="9733" width="2.44140625" bestFit="1" customWidth="1"/>
    <col min="9734" max="9734" width="13" customWidth="1"/>
    <col min="9735" max="9735" width="2.44140625" bestFit="1" customWidth="1"/>
    <col min="9736" max="9736" width="13" customWidth="1"/>
    <col min="9737" max="9737" width="2.44140625" bestFit="1" customWidth="1"/>
    <col min="9738" max="9738" width="13" customWidth="1"/>
    <col min="9739" max="9739" width="2.44140625" bestFit="1" customWidth="1"/>
    <col min="9740" max="9740" width="13" customWidth="1"/>
    <col min="9741" max="9741" width="2.44140625" bestFit="1" customWidth="1"/>
    <col min="9742" max="9742" width="13" customWidth="1"/>
    <col min="9743" max="9743" width="2.44140625" bestFit="1" customWidth="1"/>
    <col min="9744" max="9744" width="13" customWidth="1"/>
    <col min="9745" max="9745" width="2.44140625" bestFit="1" customWidth="1"/>
    <col min="9746" max="9746" width="13" customWidth="1"/>
    <col min="9747" max="9747" width="2.44140625" bestFit="1" customWidth="1"/>
    <col min="9748" max="9748" width="13" customWidth="1"/>
    <col min="9749" max="9749" width="2.44140625" bestFit="1" customWidth="1"/>
    <col min="9750" max="9750" width="13" customWidth="1"/>
    <col min="9751" max="9751" width="2.44140625" bestFit="1" customWidth="1"/>
    <col min="9752" max="9752" width="13" customWidth="1"/>
    <col min="9753" max="9753" width="2.44140625" bestFit="1" customWidth="1"/>
    <col min="9754" max="9754" width="13" customWidth="1"/>
    <col min="9755" max="9755" width="2.44140625" bestFit="1" customWidth="1"/>
    <col min="9756" max="9756" width="13" customWidth="1"/>
    <col min="9757" max="9757" width="6.109375" bestFit="1" customWidth="1"/>
    <col min="9989" max="9989" width="2.44140625" bestFit="1" customWidth="1"/>
    <col min="9990" max="9990" width="13" customWidth="1"/>
    <col min="9991" max="9991" width="2.44140625" bestFit="1" customWidth="1"/>
    <col min="9992" max="9992" width="13" customWidth="1"/>
    <col min="9993" max="9993" width="2.44140625" bestFit="1" customWidth="1"/>
    <col min="9994" max="9994" width="13" customWidth="1"/>
    <col min="9995" max="9995" width="2.44140625" bestFit="1" customWidth="1"/>
    <col min="9996" max="9996" width="13" customWidth="1"/>
    <col min="9997" max="9997" width="2.44140625" bestFit="1" customWidth="1"/>
    <col min="9998" max="9998" width="13" customWidth="1"/>
    <col min="9999" max="9999" width="2.44140625" bestFit="1" customWidth="1"/>
    <col min="10000" max="10000" width="13" customWidth="1"/>
    <col min="10001" max="10001" width="2.44140625" bestFit="1" customWidth="1"/>
    <col min="10002" max="10002" width="13" customWidth="1"/>
    <col min="10003" max="10003" width="2.44140625" bestFit="1" customWidth="1"/>
    <col min="10004" max="10004" width="13" customWidth="1"/>
    <col min="10005" max="10005" width="2.44140625" bestFit="1" customWidth="1"/>
    <col min="10006" max="10006" width="13" customWidth="1"/>
    <col min="10007" max="10007" width="2.44140625" bestFit="1" customWidth="1"/>
    <col min="10008" max="10008" width="13" customWidth="1"/>
    <col min="10009" max="10009" width="2.44140625" bestFit="1" customWidth="1"/>
    <col min="10010" max="10010" width="13" customWidth="1"/>
    <col min="10011" max="10011" width="2.44140625" bestFit="1" customWidth="1"/>
    <col min="10012" max="10012" width="13" customWidth="1"/>
    <col min="10013" max="10013" width="6.109375" bestFit="1" customWidth="1"/>
    <col min="10245" max="10245" width="2.44140625" bestFit="1" customWidth="1"/>
    <col min="10246" max="10246" width="13" customWidth="1"/>
    <col min="10247" max="10247" width="2.44140625" bestFit="1" customWidth="1"/>
    <col min="10248" max="10248" width="13" customWidth="1"/>
    <col min="10249" max="10249" width="2.44140625" bestFit="1" customWidth="1"/>
    <col min="10250" max="10250" width="13" customWidth="1"/>
    <col min="10251" max="10251" width="2.44140625" bestFit="1" customWidth="1"/>
    <col min="10252" max="10252" width="13" customWidth="1"/>
    <col min="10253" max="10253" width="2.44140625" bestFit="1" customWidth="1"/>
    <col min="10254" max="10254" width="13" customWidth="1"/>
    <col min="10255" max="10255" width="2.44140625" bestFit="1" customWidth="1"/>
    <col min="10256" max="10256" width="13" customWidth="1"/>
    <col min="10257" max="10257" width="2.44140625" bestFit="1" customWidth="1"/>
    <col min="10258" max="10258" width="13" customWidth="1"/>
    <col min="10259" max="10259" width="2.44140625" bestFit="1" customWidth="1"/>
    <col min="10260" max="10260" width="13" customWidth="1"/>
    <col min="10261" max="10261" width="2.44140625" bestFit="1" customWidth="1"/>
    <col min="10262" max="10262" width="13" customWidth="1"/>
    <col min="10263" max="10263" width="2.44140625" bestFit="1" customWidth="1"/>
    <col min="10264" max="10264" width="13" customWidth="1"/>
    <col min="10265" max="10265" width="2.44140625" bestFit="1" customWidth="1"/>
    <col min="10266" max="10266" width="13" customWidth="1"/>
    <col min="10267" max="10267" width="2.44140625" bestFit="1" customWidth="1"/>
    <col min="10268" max="10268" width="13" customWidth="1"/>
    <col min="10269" max="10269" width="6.109375" bestFit="1" customWidth="1"/>
    <col min="10501" max="10501" width="2.44140625" bestFit="1" customWidth="1"/>
    <col min="10502" max="10502" width="13" customWidth="1"/>
    <col min="10503" max="10503" width="2.44140625" bestFit="1" customWidth="1"/>
    <col min="10504" max="10504" width="13" customWidth="1"/>
    <col min="10505" max="10505" width="2.44140625" bestFit="1" customWidth="1"/>
    <col min="10506" max="10506" width="13" customWidth="1"/>
    <col min="10507" max="10507" width="2.44140625" bestFit="1" customWidth="1"/>
    <col min="10508" max="10508" width="13" customWidth="1"/>
    <col min="10509" max="10509" width="2.44140625" bestFit="1" customWidth="1"/>
    <col min="10510" max="10510" width="13" customWidth="1"/>
    <col min="10511" max="10511" width="2.44140625" bestFit="1" customWidth="1"/>
    <col min="10512" max="10512" width="13" customWidth="1"/>
    <col min="10513" max="10513" width="2.44140625" bestFit="1" customWidth="1"/>
    <col min="10514" max="10514" width="13" customWidth="1"/>
    <col min="10515" max="10515" width="2.44140625" bestFit="1" customWidth="1"/>
    <col min="10516" max="10516" width="13" customWidth="1"/>
    <col min="10517" max="10517" width="2.44140625" bestFit="1" customWidth="1"/>
    <col min="10518" max="10518" width="13" customWidth="1"/>
    <col min="10519" max="10519" width="2.44140625" bestFit="1" customWidth="1"/>
    <col min="10520" max="10520" width="13" customWidth="1"/>
    <col min="10521" max="10521" width="2.44140625" bestFit="1" customWidth="1"/>
    <col min="10522" max="10522" width="13" customWidth="1"/>
    <col min="10523" max="10523" width="2.44140625" bestFit="1" customWidth="1"/>
    <col min="10524" max="10524" width="13" customWidth="1"/>
    <col min="10525" max="10525" width="6.109375" bestFit="1" customWidth="1"/>
    <col min="10757" max="10757" width="2.44140625" bestFit="1" customWidth="1"/>
    <col min="10758" max="10758" width="13" customWidth="1"/>
    <col min="10759" max="10759" width="2.44140625" bestFit="1" customWidth="1"/>
    <col min="10760" max="10760" width="13" customWidth="1"/>
    <col min="10761" max="10761" width="2.44140625" bestFit="1" customWidth="1"/>
    <col min="10762" max="10762" width="13" customWidth="1"/>
    <col min="10763" max="10763" width="2.44140625" bestFit="1" customWidth="1"/>
    <col min="10764" max="10764" width="13" customWidth="1"/>
    <col min="10765" max="10765" width="2.44140625" bestFit="1" customWidth="1"/>
    <col min="10766" max="10766" width="13" customWidth="1"/>
    <col min="10767" max="10767" width="2.44140625" bestFit="1" customWidth="1"/>
    <col min="10768" max="10768" width="13" customWidth="1"/>
    <col min="10769" max="10769" width="2.44140625" bestFit="1" customWidth="1"/>
    <col min="10770" max="10770" width="13" customWidth="1"/>
    <col min="10771" max="10771" width="2.44140625" bestFit="1" customWidth="1"/>
    <col min="10772" max="10772" width="13" customWidth="1"/>
    <col min="10773" max="10773" width="2.44140625" bestFit="1" customWidth="1"/>
    <col min="10774" max="10774" width="13" customWidth="1"/>
    <col min="10775" max="10775" width="2.44140625" bestFit="1" customWidth="1"/>
    <col min="10776" max="10776" width="13" customWidth="1"/>
    <col min="10777" max="10777" width="2.44140625" bestFit="1" customWidth="1"/>
    <col min="10778" max="10778" width="13" customWidth="1"/>
    <col min="10779" max="10779" width="2.44140625" bestFit="1" customWidth="1"/>
    <col min="10780" max="10780" width="13" customWidth="1"/>
    <col min="10781" max="10781" width="6.109375" bestFit="1" customWidth="1"/>
    <col min="11013" max="11013" width="2.44140625" bestFit="1" customWidth="1"/>
    <col min="11014" max="11014" width="13" customWidth="1"/>
    <col min="11015" max="11015" width="2.44140625" bestFit="1" customWidth="1"/>
    <col min="11016" max="11016" width="13" customWidth="1"/>
    <col min="11017" max="11017" width="2.44140625" bestFit="1" customWidth="1"/>
    <col min="11018" max="11018" width="13" customWidth="1"/>
    <col min="11019" max="11019" width="2.44140625" bestFit="1" customWidth="1"/>
    <col min="11020" max="11020" width="13" customWidth="1"/>
    <col min="11021" max="11021" width="2.44140625" bestFit="1" customWidth="1"/>
    <col min="11022" max="11022" width="13" customWidth="1"/>
    <col min="11023" max="11023" width="2.44140625" bestFit="1" customWidth="1"/>
    <col min="11024" max="11024" width="13" customWidth="1"/>
    <col min="11025" max="11025" width="2.44140625" bestFit="1" customWidth="1"/>
    <col min="11026" max="11026" width="13" customWidth="1"/>
    <col min="11027" max="11027" width="2.44140625" bestFit="1" customWidth="1"/>
    <col min="11028" max="11028" width="13" customWidth="1"/>
    <col min="11029" max="11029" width="2.44140625" bestFit="1" customWidth="1"/>
    <col min="11030" max="11030" width="13" customWidth="1"/>
    <col min="11031" max="11031" width="2.44140625" bestFit="1" customWidth="1"/>
    <col min="11032" max="11032" width="13" customWidth="1"/>
    <col min="11033" max="11033" width="2.44140625" bestFit="1" customWidth="1"/>
    <col min="11034" max="11034" width="13" customWidth="1"/>
    <col min="11035" max="11035" width="2.44140625" bestFit="1" customWidth="1"/>
    <col min="11036" max="11036" width="13" customWidth="1"/>
    <col min="11037" max="11037" width="6.109375" bestFit="1" customWidth="1"/>
    <col min="11269" max="11269" width="2.44140625" bestFit="1" customWidth="1"/>
    <col min="11270" max="11270" width="13" customWidth="1"/>
    <col min="11271" max="11271" width="2.44140625" bestFit="1" customWidth="1"/>
    <col min="11272" max="11272" width="13" customWidth="1"/>
    <col min="11273" max="11273" width="2.44140625" bestFit="1" customWidth="1"/>
    <col min="11274" max="11274" width="13" customWidth="1"/>
    <col min="11275" max="11275" width="2.44140625" bestFit="1" customWidth="1"/>
    <col min="11276" max="11276" width="13" customWidth="1"/>
    <col min="11277" max="11277" width="2.44140625" bestFit="1" customWidth="1"/>
    <col min="11278" max="11278" width="13" customWidth="1"/>
    <col min="11279" max="11279" width="2.44140625" bestFit="1" customWidth="1"/>
    <col min="11280" max="11280" width="13" customWidth="1"/>
    <col min="11281" max="11281" width="2.44140625" bestFit="1" customWidth="1"/>
    <col min="11282" max="11282" width="13" customWidth="1"/>
    <col min="11283" max="11283" width="2.44140625" bestFit="1" customWidth="1"/>
    <col min="11284" max="11284" width="13" customWidth="1"/>
    <col min="11285" max="11285" width="2.44140625" bestFit="1" customWidth="1"/>
    <col min="11286" max="11286" width="13" customWidth="1"/>
    <col min="11287" max="11287" width="2.44140625" bestFit="1" customWidth="1"/>
    <col min="11288" max="11288" width="13" customWidth="1"/>
    <col min="11289" max="11289" width="2.44140625" bestFit="1" customWidth="1"/>
    <col min="11290" max="11290" width="13" customWidth="1"/>
    <col min="11291" max="11291" width="2.44140625" bestFit="1" customWidth="1"/>
    <col min="11292" max="11292" width="13" customWidth="1"/>
    <col min="11293" max="11293" width="6.109375" bestFit="1" customWidth="1"/>
    <col min="11525" max="11525" width="2.44140625" bestFit="1" customWidth="1"/>
    <col min="11526" max="11526" width="13" customWidth="1"/>
    <col min="11527" max="11527" width="2.44140625" bestFit="1" customWidth="1"/>
    <col min="11528" max="11528" width="13" customWidth="1"/>
    <col min="11529" max="11529" width="2.44140625" bestFit="1" customWidth="1"/>
    <col min="11530" max="11530" width="13" customWidth="1"/>
    <col min="11531" max="11531" width="2.44140625" bestFit="1" customWidth="1"/>
    <col min="11532" max="11532" width="13" customWidth="1"/>
    <col min="11533" max="11533" width="2.44140625" bestFit="1" customWidth="1"/>
    <col min="11534" max="11534" width="13" customWidth="1"/>
    <col min="11535" max="11535" width="2.44140625" bestFit="1" customWidth="1"/>
    <col min="11536" max="11536" width="13" customWidth="1"/>
    <col min="11537" max="11537" width="2.44140625" bestFit="1" customWidth="1"/>
    <col min="11538" max="11538" width="13" customWidth="1"/>
    <col min="11539" max="11539" width="2.44140625" bestFit="1" customWidth="1"/>
    <col min="11540" max="11540" width="13" customWidth="1"/>
    <col min="11541" max="11541" width="2.44140625" bestFit="1" customWidth="1"/>
    <col min="11542" max="11542" width="13" customWidth="1"/>
    <col min="11543" max="11543" width="2.44140625" bestFit="1" customWidth="1"/>
    <col min="11544" max="11544" width="13" customWidth="1"/>
    <col min="11545" max="11545" width="2.44140625" bestFit="1" customWidth="1"/>
    <col min="11546" max="11546" width="13" customWidth="1"/>
    <col min="11547" max="11547" width="2.44140625" bestFit="1" customWidth="1"/>
    <col min="11548" max="11548" width="13" customWidth="1"/>
    <col min="11549" max="11549" width="6.109375" bestFit="1" customWidth="1"/>
    <col min="11781" max="11781" width="2.44140625" bestFit="1" customWidth="1"/>
    <col min="11782" max="11782" width="13" customWidth="1"/>
    <col min="11783" max="11783" width="2.44140625" bestFit="1" customWidth="1"/>
    <col min="11784" max="11784" width="13" customWidth="1"/>
    <col min="11785" max="11785" width="2.44140625" bestFit="1" customWidth="1"/>
    <col min="11786" max="11786" width="13" customWidth="1"/>
    <col min="11787" max="11787" width="2.44140625" bestFit="1" customWidth="1"/>
    <col min="11788" max="11788" width="13" customWidth="1"/>
    <col min="11789" max="11789" width="2.44140625" bestFit="1" customWidth="1"/>
    <col min="11790" max="11790" width="13" customWidth="1"/>
    <col min="11791" max="11791" width="2.44140625" bestFit="1" customWidth="1"/>
    <col min="11792" max="11792" width="13" customWidth="1"/>
    <col min="11793" max="11793" width="2.44140625" bestFit="1" customWidth="1"/>
    <col min="11794" max="11794" width="13" customWidth="1"/>
    <col min="11795" max="11795" width="2.44140625" bestFit="1" customWidth="1"/>
    <col min="11796" max="11796" width="13" customWidth="1"/>
    <col min="11797" max="11797" width="2.44140625" bestFit="1" customWidth="1"/>
    <col min="11798" max="11798" width="13" customWidth="1"/>
    <col min="11799" max="11799" width="2.44140625" bestFit="1" customWidth="1"/>
    <col min="11800" max="11800" width="13" customWidth="1"/>
    <col min="11801" max="11801" width="2.44140625" bestFit="1" customWidth="1"/>
    <col min="11802" max="11802" width="13" customWidth="1"/>
    <col min="11803" max="11803" width="2.44140625" bestFit="1" customWidth="1"/>
    <col min="11804" max="11804" width="13" customWidth="1"/>
    <col min="11805" max="11805" width="6.109375" bestFit="1" customWidth="1"/>
    <col min="12037" max="12037" width="2.44140625" bestFit="1" customWidth="1"/>
    <col min="12038" max="12038" width="13" customWidth="1"/>
    <col min="12039" max="12039" width="2.44140625" bestFit="1" customWidth="1"/>
    <col min="12040" max="12040" width="13" customWidth="1"/>
    <col min="12041" max="12041" width="2.44140625" bestFit="1" customWidth="1"/>
    <col min="12042" max="12042" width="13" customWidth="1"/>
    <col min="12043" max="12043" width="2.44140625" bestFit="1" customWidth="1"/>
    <col min="12044" max="12044" width="13" customWidth="1"/>
    <col min="12045" max="12045" width="2.44140625" bestFit="1" customWidth="1"/>
    <col min="12046" max="12046" width="13" customWidth="1"/>
    <col min="12047" max="12047" width="2.44140625" bestFit="1" customWidth="1"/>
    <col min="12048" max="12048" width="13" customWidth="1"/>
    <col min="12049" max="12049" width="2.44140625" bestFit="1" customWidth="1"/>
    <col min="12050" max="12050" width="13" customWidth="1"/>
    <col min="12051" max="12051" width="2.44140625" bestFit="1" customWidth="1"/>
    <col min="12052" max="12052" width="13" customWidth="1"/>
    <col min="12053" max="12053" width="2.44140625" bestFit="1" customWidth="1"/>
    <col min="12054" max="12054" width="13" customWidth="1"/>
    <col min="12055" max="12055" width="2.44140625" bestFit="1" customWidth="1"/>
    <col min="12056" max="12056" width="13" customWidth="1"/>
    <col min="12057" max="12057" width="2.44140625" bestFit="1" customWidth="1"/>
    <col min="12058" max="12058" width="13" customWidth="1"/>
    <col min="12059" max="12059" width="2.44140625" bestFit="1" customWidth="1"/>
    <col min="12060" max="12060" width="13" customWidth="1"/>
    <col min="12061" max="12061" width="6.109375" bestFit="1" customWidth="1"/>
    <col min="12293" max="12293" width="2.44140625" bestFit="1" customWidth="1"/>
    <col min="12294" max="12294" width="13" customWidth="1"/>
    <col min="12295" max="12295" width="2.44140625" bestFit="1" customWidth="1"/>
    <col min="12296" max="12296" width="13" customWidth="1"/>
    <col min="12297" max="12297" width="2.44140625" bestFit="1" customWidth="1"/>
    <col min="12298" max="12298" width="13" customWidth="1"/>
    <col min="12299" max="12299" width="2.44140625" bestFit="1" customWidth="1"/>
    <col min="12300" max="12300" width="13" customWidth="1"/>
    <col min="12301" max="12301" width="2.44140625" bestFit="1" customWidth="1"/>
    <col min="12302" max="12302" width="13" customWidth="1"/>
    <col min="12303" max="12303" width="2.44140625" bestFit="1" customWidth="1"/>
    <col min="12304" max="12304" width="13" customWidth="1"/>
    <col min="12305" max="12305" width="2.44140625" bestFit="1" customWidth="1"/>
    <col min="12306" max="12306" width="13" customWidth="1"/>
    <col min="12307" max="12307" width="2.44140625" bestFit="1" customWidth="1"/>
    <col min="12308" max="12308" width="13" customWidth="1"/>
    <col min="12309" max="12309" width="2.44140625" bestFit="1" customWidth="1"/>
    <col min="12310" max="12310" width="13" customWidth="1"/>
    <col min="12311" max="12311" width="2.44140625" bestFit="1" customWidth="1"/>
    <col min="12312" max="12312" width="13" customWidth="1"/>
    <col min="12313" max="12313" width="2.44140625" bestFit="1" customWidth="1"/>
    <col min="12314" max="12314" width="13" customWidth="1"/>
    <col min="12315" max="12315" width="2.44140625" bestFit="1" customWidth="1"/>
    <col min="12316" max="12316" width="13" customWidth="1"/>
    <col min="12317" max="12317" width="6.109375" bestFit="1" customWidth="1"/>
    <col min="12549" max="12549" width="2.44140625" bestFit="1" customWidth="1"/>
    <col min="12550" max="12550" width="13" customWidth="1"/>
    <col min="12551" max="12551" width="2.44140625" bestFit="1" customWidth="1"/>
    <col min="12552" max="12552" width="13" customWidth="1"/>
    <col min="12553" max="12553" width="2.44140625" bestFit="1" customWidth="1"/>
    <col min="12554" max="12554" width="13" customWidth="1"/>
    <col min="12555" max="12555" width="2.44140625" bestFit="1" customWidth="1"/>
    <col min="12556" max="12556" width="13" customWidth="1"/>
    <col min="12557" max="12557" width="2.44140625" bestFit="1" customWidth="1"/>
    <col min="12558" max="12558" width="13" customWidth="1"/>
    <col min="12559" max="12559" width="2.44140625" bestFit="1" customWidth="1"/>
    <col min="12560" max="12560" width="13" customWidth="1"/>
    <col min="12561" max="12561" width="2.44140625" bestFit="1" customWidth="1"/>
    <col min="12562" max="12562" width="13" customWidth="1"/>
    <col min="12563" max="12563" width="2.44140625" bestFit="1" customWidth="1"/>
    <col min="12564" max="12564" width="13" customWidth="1"/>
    <col min="12565" max="12565" width="2.44140625" bestFit="1" customWidth="1"/>
    <col min="12566" max="12566" width="13" customWidth="1"/>
    <col min="12567" max="12567" width="2.44140625" bestFit="1" customWidth="1"/>
    <col min="12568" max="12568" width="13" customWidth="1"/>
    <col min="12569" max="12569" width="2.44140625" bestFit="1" customWidth="1"/>
    <col min="12570" max="12570" width="13" customWidth="1"/>
    <col min="12571" max="12571" width="2.44140625" bestFit="1" customWidth="1"/>
    <col min="12572" max="12572" width="13" customWidth="1"/>
    <col min="12573" max="12573" width="6.109375" bestFit="1" customWidth="1"/>
    <col min="12805" max="12805" width="2.44140625" bestFit="1" customWidth="1"/>
    <col min="12806" max="12806" width="13" customWidth="1"/>
    <col min="12807" max="12807" width="2.44140625" bestFit="1" customWidth="1"/>
    <col min="12808" max="12808" width="13" customWidth="1"/>
    <col min="12809" max="12809" width="2.44140625" bestFit="1" customWidth="1"/>
    <col min="12810" max="12810" width="13" customWidth="1"/>
    <col min="12811" max="12811" width="2.44140625" bestFit="1" customWidth="1"/>
    <col min="12812" max="12812" width="13" customWidth="1"/>
    <col min="12813" max="12813" width="2.44140625" bestFit="1" customWidth="1"/>
    <col min="12814" max="12814" width="13" customWidth="1"/>
    <col min="12815" max="12815" width="2.44140625" bestFit="1" customWidth="1"/>
    <col min="12816" max="12816" width="13" customWidth="1"/>
    <col min="12817" max="12817" width="2.44140625" bestFit="1" customWidth="1"/>
    <col min="12818" max="12818" width="13" customWidth="1"/>
    <col min="12819" max="12819" width="2.44140625" bestFit="1" customWidth="1"/>
    <col min="12820" max="12820" width="13" customWidth="1"/>
    <col min="12821" max="12821" width="2.44140625" bestFit="1" customWidth="1"/>
    <col min="12822" max="12822" width="13" customWidth="1"/>
    <col min="12823" max="12823" width="2.44140625" bestFit="1" customWidth="1"/>
    <col min="12824" max="12824" width="13" customWidth="1"/>
    <col min="12825" max="12825" width="2.44140625" bestFit="1" customWidth="1"/>
    <col min="12826" max="12826" width="13" customWidth="1"/>
    <col min="12827" max="12827" width="2.44140625" bestFit="1" customWidth="1"/>
    <col min="12828" max="12828" width="13" customWidth="1"/>
    <col min="12829" max="12829" width="6.109375" bestFit="1" customWidth="1"/>
    <col min="13061" max="13061" width="2.44140625" bestFit="1" customWidth="1"/>
    <col min="13062" max="13062" width="13" customWidth="1"/>
    <col min="13063" max="13063" width="2.44140625" bestFit="1" customWidth="1"/>
    <col min="13064" max="13064" width="13" customWidth="1"/>
    <col min="13065" max="13065" width="2.44140625" bestFit="1" customWidth="1"/>
    <col min="13066" max="13066" width="13" customWidth="1"/>
    <col min="13067" max="13067" width="2.44140625" bestFit="1" customWidth="1"/>
    <col min="13068" max="13068" width="13" customWidth="1"/>
    <col min="13069" max="13069" width="2.44140625" bestFit="1" customWidth="1"/>
    <col min="13070" max="13070" width="13" customWidth="1"/>
    <col min="13071" max="13071" width="2.44140625" bestFit="1" customWidth="1"/>
    <col min="13072" max="13072" width="13" customWidth="1"/>
    <col min="13073" max="13073" width="2.44140625" bestFit="1" customWidth="1"/>
    <col min="13074" max="13074" width="13" customWidth="1"/>
    <col min="13075" max="13075" width="2.44140625" bestFit="1" customWidth="1"/>
    <col min="13076" max="13076" width="13" customWidth="1"/>
    <col min="13077" max="13077" width="2.44140625" bestFit="1" customWidth="1"/>
    <col min="13078" max="13078" width="13" customWidth="1"/>
    <col min="13079" max="13079" width="2.44140625" bestFit="1" customWidth="1"/>
    <col min="13080" max="13080" width="13" customWidth="1"/>
    <col min="13081" max="13081" width="2.44140625" bestFit="1" customWidth="1"/>
    <col min="13082" max="13082" width="13" customWidth="1"/>
    <col min="13083" max="13083" width="2.44140625" bestFit="1" customWidth="1"/>
    <col min="13084" max="13084" width="13" customWidth="1"/>
    <col min="13085" max="13085" width="6.109375" bestFit="1" customWidth="1"/>
    <col min="13317" max="13317" width="2.44140625" bestFit="1" customWidth="1"/>
    <col min="13318" max="13318" width="13" customWidth="1"/>
    <col min="13319" max="13319" width="2.44140625" bestFit="1" customWidth="1"/>
    <col min="13320" max="13320" width="13" customWidth="1"/>
    <col min="13321" max="13321" width="2.44140625" bestFit="1" customWidth="1"/>
    <col min="13322" max="13322" width="13" customWidth="1"/>
    <col min="13323" max="13323" width="2.44140625" bestFit="1" customWidth="1"/>
    <col min="13324" max="13324" width="13" customWidth="1"/>
    <col min="13325" max="13325" width="2.44140625" bestFit="1" customWidth="1"/>
    <col min="13326" max="13326" width="13" customWidth="1"/>
    <col min="13327" max="13327" width="2.44140625" bestFit="1" customWidth="1"/>
    <col min="13328" max="13328" width="13" customWidth="1"/>
    <col min="13329" max="13329" width="2.44140625" bestFit="1" customWidth="1"/>
    <col min="13330" max="13330" width="13" customWidth="1"/>
    <col min="13331" max="13331" width="2.44140625" bestFit="1" customWidth="1"/>
    <col min="13332" max="13332" width="13" customWidth="1"/>
    <col min="13333" max="13333" width="2.44140625" bestFit="1" customWidth="1"/>
    <col min="13334" max="13334" width="13" customWidth="1"/>
    <col min="13335" max="13335" width="2.44140625" bestFit="1" customWidth="1"/>
    <col min="13336" max="13336" width="13" customWidth="1"/>
    <col min="13337" max="13337" width="2.44140625" bestFit="1" customWidth="1"/>
    <col min="13338" max="13338" width="13" customWidth="1"/>
    <col min="13339" max="13339" width="2.44140625" bestFit="1" customWidth="1"/>
    <col min="13340" max="13340" width="13" customWidth="1"/>
    <col min="13341" max="13341" width="6.109375" bestFit="1" customWidth="1"/>
    <col min="13573" max="13573" width="2.44140625" bestFit="1" customWidth="1"/>
    <col min="13574" max="13574" width="13" customWidth="1"/>
    <col min="13575" max="13575" width="2.44140625" bestFit="1" customWidth="1"/>
    <col min="13576" max="13576" width="13" customWidth="1"/>
    <col min="13577" max="13577" width="2.44140625" bestFit="1" customWidth="1"/>
    <col min="13578" max="13578" width="13" customWidth="1"/>
    <col min="13579" max="13579" width="2.44140625" bestFit="1" customWidth="1"/>
    <col min="13580" max="13580" width="13" customWidth="1"/>
    <col min="13581" max="13581" width="2.44140625" bestFit="1" customWidth="1"/>
    <col min="13582" max="13582" width="13" customWidth="1"/>
    <col min="13583" max="13583" width="2.44140625" bestFit="1" customWidth="1"/>
    <col min="13584" max="13584" width="13" customWidth="1"/>
    <col min="13585" max="13585" width="2.44140625" bestFit="1" customWidth="1"/>
    <col min="13586" max="13586" width="13" customWidth="1"/>
    <col min="13587" max="13587" width="2.44140625" bestFit="1" customWidth="1"/>
    <col min="13588" max="13588" width="13" customWidth="1"/>
    <col min="13589" max="13589" width="2.44140625" bestFit="1" customWidth="1"/>
    <col min="13590" max="13590" width="13" customWidth="1"/>
    <col min="13591" max="13591" width="2.44140625" bestFit="1" customWidth="1"/>
    <col min="13592" max="13592" width="13" customWidth="1"/>
    <col min="13593" max="13593" width="2.44140625" bestFit="1" customWidth="1"/>
    <col min="13594" max="13594" width="13" customWidth="1"/>
    <col min="13595" max="13595" width="2.44140625" bestFit="1" customWidth="1"/>
    <col min="13596" max="13596" width="13" customWidth="1"/>
    <col min="13597" max="13597" width="6.109375" bestFit="1" customWidth="1"/>
    <col min="13829" max="13829" width="2.44140625" bestFit="1" customWidth="1"/>
    <col min="13830" max="13830" width="13" customWidth="1"/>
    <col min="13831" max="13831" width="2.44140625" bestFit="1" customWidth="1"/>
    <col min="13832" max="13832" width="13" customWidth="1"/>
    <col min="13833" max="13833" width="2.44140625" bestFit="1" customWidth="1"/>
    <col min="13834" max="13834" width="13" customWidth="1"/>
    <col min="13835" max="13835" width="2.44140625" bestFit="1" customWidth="1"/>
    <col min="13836" max="13836" width="13" customWidth="1"/>
    <col min="13837" max="13837" width="2.44140625" bestFit="1" customWidth="1"/>
    <col min="13838" max="13838" width="13" customWidth="1"/>
    <col min="13839" max="13839" width="2.44140625" bestFit="1" customWidth="1"/>
    <col min="13840" max="13840" width="13" customWidth="1"/>
    <col min="13841" max="13841" width="2.44140625" bestFit="1" customWidth="1"/>
    <col min="13842" max="13842" width="13" customWidth="1"/>
    <col min="13843" max="13843" width="2.44140625" bestFit="1" customWidth="1"/>
    <col min="13844" max="13844" width="13" customWidth="1"/>
    <col min="13845" max="13845" width="2.44140625" bestFit="1" customWidth="1"/>
    <col min="13846" max="13846" width="13" customWidth="1"/>
    <col min="13847" max="13847" width="2.44140625" bestFit="1" customWidth="1"/>
    <col min="13848" max="13848" width="13" customWidth="1"/>
    <col min="13849" max="13849" width="2.44140625" bestFit="1" customWidth="1"/>
    <col min="13850" max="13850" width="13" customWidth="1"/>
    <col min="13851" max="13851" width="2.44140625" bestFit="1" customWidth="1"/>
    <col min="13852" max="13852" width="13" customWidth="1"/>
    <col min="13853" max="13853" width="6.109375" bestFit="1" customWidth="1"/>
    <col min="14085" max="14085" width="2.44140625" bestFit="1" customWidth="1"/>
    <col min="14086" max="14086" width="13" customWidth="1"/>
    <col min="14087" max="14087" width="2.44140625" bestFit="1" customWidth="1"/>
    <col min="14088" max="14088" width="13" customWidth="1"/>
    <col min="14089" max="14089" width="2.44140625" bestFit="1" customWidth="1"/>
    <col min="14090" max="14090" width="13" customWidth="1"/>
    <col min="14091" max="14091" width="2.44140625" bestFit="1" customWidth="1"/>
    <col min="14092" max="14092" width="13" customWidth="1"/>
    <col min="14093" max="14093" width="2.44140625" bestFit="1" customWidth="1"/>
    <col min="14094" max="14094" width="13" customWidth="1"/>
    <col min="14095" max="14095" width="2.44140625" bestFit="1" customWidth="1"/>
    <col min="14096" max="14096" width="13" customWidth="1"/>
    <col min="14097" max="14097" width="2.44140625" bestFit="1" customWidth="1"/>
    <col min="14098" max="14098" width="13" customWidth="1"/>
    <col min="14099" max="14099" width="2.44140625" bestFit="1" customWidth="1"/>
    <col min="14100" max="14100" width="13" customWidth="1"/>
    <col min="14101" max="14101" width="2.44140625" bestFit="1" customWidth="1"/>
    <col min="14102" max="14102" width="13" customWidth="1"/>
    <col min="14103" max="14103" width="2.44140625" bestFit="1" customWidth="1"/>
    <col min="14104" max="14104" width="13" customWidth="1"/>
    <col min="14105" max="14105" width="2.44140625" bestFit="1" customWidth="1"/>
    <col min="14106" max="14106" width="13" customWidth="1"/>
    <col min="14107" max="14107" width="2.44140625" bestFit="1" customWidth="1"/>
    <col min="14108" max="14108" width="13" customWidth="1"/>
    <col min="14109" max="14109" width="6.109375" bestFit="1" customWidth="1"/>
    <col min="14341" max="14341" width="2.44140625" bestFit="1" customWidth="1"/>
    <col min="14342" max="14342" width="13" customWidth="1"/>
    <col min="14343" max="14343" width="2.44140625" bestFit="1" customWidth="1"/>
    <col min="14344" max="14344" width="13" customWidth="1"/>
    <col min="14345" max="14345" width="2.44140625" bestFit="1" customWidth="1"/>
    <col min="14346" max="14346" width="13" customWidth="1"/>
    <col min="14347" max="14347" width="2.44140625" bestFit="1" customWidth="1"/>
    <col min="14348" max="14348" width="13" customWidth="1"/>
    <col min="14349" max="14349" width="2.44140625" bestFit="1" customWidth="1"/>
    <col min="14350" max="14350" width="13" customWidth="1"/>
    <col min="14351" max="14351" width="2.44140625" bestFit="1" customWidth="1"/>
    <col min="14352" max="14352" width="13" customWidth="1"/>
    <col min="14353" max="14353" width="2.44140625" bestFit="1" customWidth="1"/>
    <col min="14354" max="14354" width="13" customWidth="1"/>
    <col min="14355" max="14355" width="2.44140625" bestFit="1" customWidth="1"/>
    <col min="14356" max="14356" width="13" customWidth="1"/>
    <col min="14357" max="14357" width="2.44140625" bestFit="1" customWidth="1"/>
    <col min="14358" max="14358" width="13" customWidth="1"/>
    <col min="14359" max="14359" width="2.44140625" bestFit="1" customWidth="1"/>
    <col min="14360" max="14360" width="13" customWidth="1"/>
    <col min="14361" max="14361" width="2.44140625" bestFit="1" customWidth="1"/>
    <col min="14362" max="14362" width="13" customWidth="1"/>
    <col min="14363" max="14363" width="2.44140625" bestFit="1" customWidth="1"/>
    <col min="14364" max="14364" width="13" customWidth="1"/>
    <col min="14365" max="14365" width="6.109375" bestFit="1" customWidth="1"/>
    <col min="14597" max="14597" width="2.44140625" bestFit="1" customWidth="1"/>
    <col min="14598" max="14598" width="13" customWidth="1"/>
    <col min="14599" max="14599" width="2.44140625" bestFit="1" customWidth="1"/>
    <col min="14600" max="14600" width="13" customWidth="1"/>
    <col min="14601" max="14601" width="2.44140625" bestFit="1" customWidth="1"/>
    <col min="14602" max="14602" width="13" customWidth="1"/>
    <col min="14603" max="14603" width="2.44140625" bestFit="1" customWidth="1"/>
    <col min="14604" max="14604" width="13" customWidth="1"/>
    <col min="14605" max="14605" width="2.44140625" bestFit="1" customWidth="1"/>
    <col min="14606" max="14606" width="13" customWidth="1"/>
    <col min="14607" max="14607" width="2.44140625" bestFit="1" customWidth="1"/>
    <col min="14608" max="14608" width="13" customWidth="1"/>
    <col min="14609" max="14609" width="2.44140625" bestFit="1" customWidth="1"/>
    <col min="14610" max="14610" width="13" customWidth="1"/>
    <col min="14611" max="14611" width="2.44140625" bestFit="1" customWidth="1"/>
    <col min="14612" max="14612" width="13" customWidth="1"/>
    <col min="14613" max="14613" width="2.44140625" bestFit="1" customWidth="1"/>
    <col min="14614" max="14614" width="13" customWidth="1"/>
    <col min="14615" max="14615" width="2.44140625" bestFit="1" customWidth="1"/>
    <col min="14616" max="14616" width="13" customWidth="1"/>
    <col min="14617" max="14617" width="2.44140625" bestFit="1" customWidth="1"/>
    <col min="14618" max="14618" width="13" customWidth="1"/>
    <col min="14619" max="14619" width="2.44140625" bestFit="1" customWidth="1"/>
    <col min="14620" max="14620" width="13" customWidth="1"/>
    <col min="14621" max="14621" width="6.109375" bestFit="1" customWidth="1"/>
    <col min="14853" max="14853" width="2.44140625" bestFit="1" customWidth="1"/>
    <col min="14854" max="14854" width="13" customWidth="1"/>
    <col min="14855" max="14855" width="2.44140625" bestFit="1" customWidth="1"/>
    <col min="14856" max="14856" width="13" customWidth="1"/>
    <col min="14857" max="14857" width="2.44140625" bestFit="1" customWidth="1"/>
    <col min="14858" max="14858" width="13" customWidth="1"/>
    <col min="14859" max="14859" width="2.44140625" bestFit="1" customWidth="1"/>
    <col min="14860" max="14860" width="13" customWidth="1"/>
    <col min="14861" max="14861" width="2.44140625" bestFit="1" customWidth="1"/>
    <col min="14862" max="14862" width="13" customWidth="1"/>
    <col min="14863" max="14863" width="2.44140625" bestFit="1" customWidth="1"/>
    <col min="14864" max="14864" width="13" customWidth="1"/>
    <col min="14865" max="14865" width="2.44140625" bestFit="1" customWidth="1"/>
    <col min="14866" max="14866" width="13" customWidth="1"/>
    <col min="14867" max="14867" width="2.44140625" bestFit="1" customWidth="1"/>
    <col min="14868" max="14868" width="13" customWidth="1"/>
    <col min="14869" max="14869" width="2.44140625" bestFit="1" customWidth="1"/>
    <col min="14870" max="14870" width="13" customWidth="1"/>
    <col min="14871" max="14871" width="2.44140625" bestFit="1" customWidth="1"/>
    <col min="14872" max="14872" width="13" customWidth="1"/>
    <col min="14873" max="14873" width="2.44140625" bestFit="1" customWidth="1"/>
    <col min="14874" max="14874" width="13" customWidth="1"/>
    <col min="14875" max="14875" width="2.44140625" bestFit="1" customWidth="1"/>
    <col min="14876" max="14876" width="13" customWidth="1"/>
    <col min="14877" max="14877" width="6.109375" bestFit="1" customWidth="1"/>
    <col min="15109" max="15109" width="2.44140625" bestFit="1" customWidth="1"/>
    <col min="15110" max="15110" width="13" customWidth="1"/>
    <col min="15111" max="15111" width="2.44140625" bestFit="1" customWidth="1"/>
    <col min="15112" max="15112" width="13" customWidth="1"/>
    <col min="15113" max="15113" width="2.44140625" bestFit="1" customWidth="1"/>
    <col min="15114" max="15114" width="13" customWidth="1"/>
    <col min="15115" max="15115" width="2.44140625" bestFit="1" customWidth="1"/>
    <col min="15116" max="15116" width="13" customWidth="1"/>
    <col min="15117" max="15117" width="2.44140625" bestFit="1" customWidth="1"/>
    <col min="15118" max="15118" width="13" customWidth="1"/>
    <col min="15119" max="15119" width="2.44140625" bestFit="1" customWidth="1"/>
    <col min="15120" max="15120" width="13" customWidth="1"/>
    <col min="15121" max="15121" width="2.44140625" bestFit="1" customWidth="1"/>
    <col min="15122" max="15122" width="13" customWidth="1"/>
    <col min="15123" max="15123" width="2.44140625" bestFit="1" customWidth="1"/>
    <col min="15124" max="15124" width="13" customWidth="1"/>
    <col min="15125" max="15125" width="2.44140625" bestFit="1" customWidth="1"/>
    <col min="15126" max="15126" width="13" customWidth="1"/>
    <col min="15127" max="15127" width="2.44140625" bestFit="1" customWidth="1"/>
    <col min="15128" max="15128" width="13" customWidth="1"/>
    <col min="15129" max="15129" width="2.44140625" bestFit="1" customWidth="1"/>
    <col min="15130" max="15130" width="13" customWidth="1"/>
    <col min="15131" max="15131" width="2.44140625" bestFit="1" customWidth="1"/>
    <col min="15132" max="15132" width="13" customWidth="1"/>
    <col min="15133" max="15133" width="6.109375" bestFit="1" customWidth="1"/>
    <col min="15365" max="15365" width="2.44140625" bestFit="1" customWidth="1"/>
    <col min="15366" max="15366" width="13" customWidth="1"/>
    <col min="15367" max="15367" width="2.44140625" bestFit="1" customWidth="1"/>
    <col min="15368" max="15368" width="13" customWidth="1"/>
    <col min="15369" max="15369" width="2.44140625" bestFit="1" customWidth="1"/>
    <col min="15370" max="15370" width="13" customWidth="1"/>
    <col min="15371" max="15371" width="2.44140625" bestFit="1" customWidth="1"/>
    <col min="15372" max="15372" width="13" customWidth="1"/>
    <col min="15373" max="15373" width="2.44140625" bestFit="1" customWidth="1"/>
    <col min="15374" max="15374" width="13" customWidth="1"/>
    <col min="15375" max="15375" width="2.44140625" bestFit="1" customWidth="1"/>
    <col min="15376" max="15376" width="13" customWidth="1"/>
    <col min="15377" max="15377" width="2.44140625" bestFit="1" customWidth="1"/>
    <col min="15378" max="15378" width="13" customWidth="1"/>
    <col min="15379" max="15379" width="2.44140625" bestFit="1" customWidth="1"/>
    <col min="15380" max="15380" width="13" customWidth="1"/>
    <col min="15381" max="15381" width="2.44140625" bestFit="1" customWidth="1"/>
    <col min="15382" max="15382" width="13" customWidth="1"/>
    <col min="15383" max="15383" width="2.44140625" bestFit="1" customWidth="1"/>
    <col min="15384" max="15384" width="13" customWidth="1"/>
    <col min="15385" max="15385" width="2.44140625" bestFit="1" customWidth="1"/>
    <col min="15386" max="15386" width="13" customWidth="1"/>
    <col min="15387" max="15387" width="2.44140625" bestFit="1" customWidth="1"/>
    <col min="15388" max="15388" width="13" customWidth="1"/>
    <col min="15389" max="15389" width="6.109375" bestFit="1" customWidth="1"/>
    <col min="15621" max="15621" width="2.44140625" bestFit="1" customWidth="1"/>
    <col min="15622" max="15622" width="13" customWidth="1"/>
    <col min="15623" max="15623" width="2.44140625" bestFit="1" customWidth="1"/>
    <col min="15624" max="15624" width="13" customWidth="1"/>
    <col min="15625" max="15625" width="2.44140625" bestFit="1" customWidth="1"/>
    <col min="15626" max="15626" width="13" customWidth="1"/>
    <col min="15627" max="15627" width="2.44140625" bestFit="1" customWidth="1"/>
    <col min="15628" max="15628" width="13" customWidth="1"/>
    <col min="15629" max="15629" width="2.44140625" bestFit="1" customWidth="1"/>
    <col min="15630" max="15630" width="13" customWidth="1"/>
    <col min="15631" max="15631" width="2.44140625" bestFit="1" customWidth="1"/>
    <col min="15632" max="15632" width="13" customWidth="1"/>
    <col min="15633" max="15633" width="2.44140625" bestFit="1" customWidth="1"/>
    <col min="15634" max="15634" width="13" customWidth="1"/>
    <col min="15635" max="15635" width="2.44140625" bestFit="1" customWidth="1"/>
    <col min="15636" max="15636" width="13" customWidth="1"/>
    <col min="15637" max="15637" width="2.44140625" bestFit="1" customWidth="1"/>
    <col min="15638" max="15638" width="13" customWidth="1"/>
    <col min="15639" max="15639" width="2.44140625" bestFit="1" customWidth="1"/>
    <col min="15640" max="15640" width="13" customWidth="1"/>
    <col min="15641" max="15641" width="2.44140625" bestFit="1" customWidth="1"/>
    <col min="15642" max="15642" width="13" customWidth="1"/>
    <col min="15643" max="15643" width="2.44140625" bestFit="1" customWidth="1"/>
    <col min="15644" max="15644" width="13" customWidth="1"/>
    <col min="15645" max="15645" width="6.109375" bestFit="1" customWidth="1"/>
    <col min="15877" max="15877" width="2.44140625" bestFit="1" customWidth="1"/>
    <col min="15878" max="15878" width="13" customWidth="1"/>
    <col min="15879" max="15879" width="2.44140625" bestFit="1" customWidth="1"/>
    <col min="15880" max="15880" width="13" customWidth="1"/>
    <col min="15881" max="15881" width="2.44140625" bestFit="1" customWidth="1"/>
    <col min="15882" max="15882" width="13" customWidth="1"/>
    <col min="15883" max="15883" width="2.44140625" bestFit="1" customWidth="1"/>
    <col min="15884" max="15884" width="13" customWidth="1"/>
    <col min="15885" max="15885" width="2.44140625" bestFit="1" customWidth="1"/>
    <col min="15886" max="15886" width="13" customWidth="1"/>
    <col min="15887" max="15887" width="2.44140625" bestFit="1" customWidth="1"/>
    <col min="15888" max="15888" width="13" customWidth="1"/>
    <col min="15889" max="15889" width="2.44140625" bestFit="1" customWidth="1"/>
    <col min="15890" max="15890" width="13" customWidth="1"/>
    <col min="15891" max="15891" width="2.44140625" bestFit="1" customWidth="1"/>
    <col min="15892" max="15892" width="13" customWidth="1"/>
    <col min="15893" max="15893" width="2.44140625" bestFit="1" customWidth="1"/>
    <col min="15894" max="15894" width="13" customWidth="1"/>
    <col min="15895" max="15895" width="2.44140625" bestFit="1" customWidth="1"/>
    <col min="15896" max="15896" width="13" customWidth="1"/>
    <col min="15897" max="15897" width="2.44140625" bestFit="1" customWidth="1"/>
    <col min="15898" max="15898" width="13" customWidth="1"/>
    <col min="15899" max="15899" width="2.44140625" bestFit="1" customWidth="1"/>
    <col min="15900" max="15900" width="13" customWidth="1"/>
    <col min="15901" max="15901" width="6.109375" bestFit="1" customWidth="1"/>
    <col min="16133" max="16133" width="2.44140625" bestFit="1" customWidth="1"/>
    <col min="16134" max="16134" width="13" customWidth="1"/>
    <col min="16135" max="16135" width="2.44140625" bestFit="1" customWidth="1"/>
    <col min="16136" max="16136" width="13" customWidth="1"/>
    <col min="16137" max="16137" width="2.44140625" bestFit="1" customWidth="1"/>
    <col min="16138" max="16138" width="13" customWidth="1"/>
    <col min="16139" max="16139" width="2.44140625" bestFit="1" customWidth="1"/>
    <col min="16140" max="16140" width="13" customWidth="1"/>
    <col min="16141" max="16141" width="2.44140625" bestFit="1" customWidth="1"/>
    <col min="16142" max="16142" width="13" customWidth="1"/>
    <col min="16143" max="16143" width="2.44140625" bestFit="1" customWidth="1"/>
    <col min="16144" max="16144" width="13" customWidth="1"/>
    <col min="16145" max="16145" width="2.44140625" bestFit="1" customWidth="1"/>
    <col min="16146" max="16146" width="13" customWidth="1"/>
    <col min="16147" max="16147" width="2.44140625" bestFit="1" customWidth="1"/>
    <col min="16148" max="16148" width="13" customWidth="1"/>
    <col min="16149" max="16149" width="2.44140625" bestFit="1" customWidth="1"/>
    <col min="16150" max="16150" width="13" customWidth="1"/>
    <col min="16151" max="16151" width="2.44140625" bestFit="1" customWidth="1"/>
    <col min="16152" max="16152" width="13" customWidth="1"/>
    <col min="16153" max="16153" width="2.44140625" bestFit="1" customWidth="1"/>
    <col min="16154" max="16154" width="13" customWidth="1"/>
    <col min="16155" max="16155" width="2.44140625" bestFit="1" customWidth="1"/>
    <col min="16156" max="16156" width="13" customWidth="1"/>
    <col min="16157" max="16157" width="6.109375" bestFit="1" customWidth="1"/>
  </cols>
  <sheetData>
    <row r="1" spans="1:28" x14ac:dyDescent="0.25">
      <c r="A1" s="175"/>
      <c r="B1" s="273" t="s">
        <v>2007</v>
      </c>
      <c r="C1" s="175"/>
      <c r="D1" s="273" t="s">
        <v>2008</v>
      </c>
      <c r="E1" s="273"/>
      <c r="F1" s="175"/>
      <c r="G1" s="273" t="s">
        <v>1851</v>
      </c>
      <c r="H1" s="175"/>
      <c r="I1" s="273" t="s">
        <v>1852</v>
      </c>
      <c r="J1" s="175"/>
      <c r="K1" s="273" t="s">
        <v>1853</v>
      </c>
      <c r="L1" s="273"/>
      <c r="M1" s="175"/>
      <c r="N1" s="273" t="s">
        <v>1854</v>
      </c>
      <c r="O1" s="273"/>
      <c r="P1" s="175"/>
      <c r="Q1" s="273" t="s">
        <v>1855</v>
      </c>
      <c r="R1" s="175"/>
      <c r="S1" s="273" t="s">
        <v>1856</v>
      </c>
      <c r="T1" s="175"/>
      <c r="U1" s="273" t="s">
        <v>1857</v>
      </c>
      <c r="V1" s="273"/>
      <c r="W1" s="175"/>
      <c r="X1" s="273" t="s">
        <v>1858</v>
      </c>
      <c r="Y1" s="175"/>
      <c r="Z1" s="273" t="s">
        <v>2009</v>
      </c>
      <c r="AA1" s="175"/>
      <c r="AB1" s="273" t="s">
        <v>2010</v>
      </c>
    </row>
    <row r="2" spans="1:28" x14ac:dyDescent="0.25">
      <c r="A2" s="95" t="s">
        <v>487</v>
      </c>
      <c r="B2" s="257">
        <v>40179</v>
      </c>
      <c r="C2" s="274" t="s">
        <v>252</v>
      </c>
      <c r="D2" s="275">
        <v>40210</v>
      </c>
      <c r="F2" s="273" t="s">
        <v>1860</v>
      </c>
      <c r="G2" s="256">
        <v>40238</v>
      </c>
      <c r="H2" s="175" t="s">
        <v>487</v>
      </c>
      <c r="I2" s="256">
        <v>40269</v>
      </c>
      <c r="J2" s="95" t="s">
        <v>1861</v>
      </c>
      <c r="K2" s="256">
        <v>40299</v>
      </c>
      <c r="L2" s="278"/>
      <c r="M2" s="274" t="s">
        <v>476</v>
      </c>
      <c r="N2" s="258">
        <v>40330</v>
      </c>
      <c r="O2" s="278"/>
      <c r="P2" s="175" t="s">
        <v>487</v>
      </c>
      <c r="Q2" s="276">
        <v>40360</v>
      </c>
      <c r="R2" s="95" t="s">
        <v>252</v>
      </c>
      <c r="S2" s="257">
        <v>40391</v>
      </c>
      <c r="T2" s="175" t="s">
        <v>487</v>
      </c>
      <c r="U2" s="276">
        <v>40422</v>
      </c>
      <c r="V2" s="276"/>
      <c r="W2" s="273" t="s">
        <v>1859</v>
      </c>
      <c r="X2" s="276">
        <v>40452</v>
      </c>
      <c r="Y2" s="273" t="s">
        <v>1860</v>
      </c>
      <c r="Z2" s="276">
        <v>40483</v>
      </c>
      <c r="AA2" s="175" t="s">
        <v>487</v>
      </c>
      <c r="AB2" s="276">
        <v>40513</v>
      </c>
    </row>
    <row r="3" spans="1:28" x14ac:dyDescent="0.25">
      <c r="A3" s="95" t="s">
        <v>1859</v>
      </c>
      <c r="B3" s="257">
        <v>40180</v>
      </c>
      <c r="C3" s="274" t="s">
        <v>1860</v>
      </c>
      <c r="D3" s="275">
        <v>40211</v>
      </c>
      <c r="F3" s="175" t="s">
        <v>476</v>
      </c>
      <c r="G3" s="256">
        <v>40239</v>
      </c>
      <c r="H3" s="273" t="s">
        <v>1859</v>
      </c>
      <c r="I3" s="256">
        <v>40270</v>
      </c>
      <c r="J3" s="273" t="s">
        <v>252</v>
      </c>
      <c r="K3" s="256">
        <v>40300</v>
      </c>
      <c r="L3" s="278"/>
      <c r="M3" s="175" t="s">
        <v>487</v>
      </c>
      <c r="N3" s="258">
        <v>40331</v>
      </c>
      <c r="O3" s="278"/>
      <c r="P3" s="273" t="s">
        <v>1859</v>
      </c>
      <c r="Q3" s="276">
        <v>40361</v>
      </c>
      <c r="R3" s="95" t="s">
        <v>1860</v>
      </c>
      <c r="S3" s="257">
        <v>40392</v>
      </c>
      <c r="T3" s="175" t="s">
        <v>487</v>
      </c>
      <c r="U3" s="276">
        <v>40423</v>
      </c>
      <c r="V3" s="276"/>
      <c r="W3" s="273" t="s">
        <v>1861</v>
      </c>
      <c r="X3" s="276">
        <v>40453</v>
      </c>
      <c r="Y3" s="175" t="s">
        <v>476</v>
      </c>
      <c r="Z3" s="276">
        <v>40484</v>
      </c>
      <c r="AA3" s="175" t="s">
        <v>487</v>
      </c>
      <c r="AB3" s="276">
        <v>40514</v>
      </c>
    </row>
    <row r="4" spans="1:28" x14ac:dyDescent="0.25">
      <c r="A4" s="95" t="s">
        <v>1861</v>
      </c>
      <c r="B4" s="257">
        <v>40181</v>
      </c>
      <c r="C4" s="175" t="s">
        <v>476</v>
      </c>
      <c r="D4" s="275">
        <v>40212</v>
      </c>
      <c r="F4" s="175" t="s">
        <v>487</v>
      </c>
      <c r="G4" s="256">
        <v>40240</v>
      </c>
      <c r="H4" s="273" t="s">
        <v>1861</v>
      </c>
      <c r="I4" s="256">
        <v>40271</v>
      </c>
      <c r="J4" s="273" t="s">
        <v>1860</v>
      </c>
      <c r="K4" s="256">
        <v>40301</v>
      </c>
      <c r="L4" s="278"/>
      <c r="M4" s="175" t="s">
        <v>487</v>
      </c>
      <c r="N4" s="258">
        <v>40332</v>
      </c>
      <c r="O4" s="278"/>
      <c r="P4" s="273" t="s">
        <v>1861</v>
      </c>
      <c r="Q4" s="276">
        <v>40362</v>
      </c>
      <c r="R4" s="95" t="s">
        <v>476</v>
      </c>
      <c r="S4" s="257">
        <v>40393</v>
      </c>
      <c r="T4" s="273" t="s">
        <v>1859</v>
      </c>
      <c r="U4" s="276">
        <v>40424</v>
      </c>
      <c r="V4" s="276"/>
      <c r="W4" s="273" t="s">
        <v>252</v>
      </c>
      <c r="X4" s="276">
        <v>40454</v>
      </c>
      <c r="Y4" s="175" t="s">
        <v>487</v>
      </c>
      <c r="Z4" s="276">
        <v>40485</v>
      </c>
      <c r="AA4" s="273" t="s">
        <v>1859</v>
      </c>
      <c r="AB4" s="276">
        <v>40515</v>
      </c>
    </row>
    <row r="5" spans="1:28" x14ac:dyDescent="0.25">
      <c r="A5" s="95" t="s">
        <v>252</v>
      </c>
      <c r="B5" s="257">
        <v>40182</v>
      </c>
      <c r="C5" s="175" t="s">
        <v>487</v>
      </c>
      <c r="D5" s="275">
        <v>40213</v>
      </c>
      <c r="F5" s="175" t="s">
        <v>487</v>
      </c>
      <c r="G5" s="256">
        <v>40241</v>
      </c>
      <c r="H5" s="95" t="s">
        <v>252</v>
      </c>
      <c r="I5" s="275">
        <v>40272</v>
      </c>
      <c r="J5" s="175" t="s">
        <v>476</v>
      </c>
      <c r="K5" s="256">
        <v>40302</v>
      </c>
      <c r="L5" s="278"/>
      <c r="M5" s="273" t="s">
        <v>1859</v>
      </c>
      <c r="N5" s="258">
        <v>40333</v>
      </c>
      <c r="O5" s="258"/>
      <c r="P5" s="95" t="s">
        <v>252</v>
      </c>
      <c r="Q5" s="256">
        <v>40363</v>
      </c>
      <c r="R5" s="95" t="s">
        <v>487</v>
      </c>
      <c r="S5" s="257">
        <v>40394</v>
      </c>
      <c r="T5" s="273" t="s">
        <v>1861</v>
      </c>
      <c r="U5" s="276">
        <v>40425</v>
      </c>
      <c r="V5" s="276"/>
      <c r="W5" s="273" t="s">
        <v>1860</v>
      </c>
      <c r="X5" s="276">
        <v>40455</v>
      </c>
      <c r="Y5" s="175" t="s">
        <v>487</v>
      </c>
      <c r="Z5" s="276">
        <v>40486</v>
      </c>
      <c r="AA5" s="273" t="s">
        <v>1861</v>
      </c>
      <c r="AB5" s="276">
        <v>40516</v>
      </c>
    </row>
    <row r="6" spans="1:28" x14ac:dyDescent="0.25">
      <c r="A6" s="95" t="s">
        <v>1860</v>
      </c>
      <c r="B6" s="257">
        <v>40183</v>
      </c>
      <c r="C6" s="175" t="s">
        <v>487</v>
      </c>
      <c r="D6" s="275">
        <v>40214</v>
      </c>
      <c r="F6" s="273" t="s">
        <v>1859</v>
      </c>
      <c r="G6" s="256">
        <v>40242</v>
      </c>
      <c r="H6" s="95" t="s">
        <v>1860</v>
      </c>
      <c r="I6" s="275">
        <v>40273</v>
      </c>
      <c r="J6" s="175" t="s">
        <v>487</v>
      </c>
      <c r="K6" s="256">
        <v>40303</v>
      </c>
      <c r="L6" s="278"/>
      <c r="M6" s="273" t="s">
        <v>1861</v>
      </c>
      <c r="N6" s="258">
        <v>40334</v>
      </c>
      <c r="O6" s="258"/>
      <c r="P6" s="95" t="s">
        <v>1860</v>
      </c>
      <c r="Q6" s="256">
        <v>40364</v>
      </c>
      <c r="R6" s="95" t="s">
        <v>487</v>
      </c>
      <c r="S6" s="257">
        <v>40395</v>
      </c>
      <c r="T6" s="273" t="s">
        <v>252</v>
      </c>
      <c r="U6" s="276">
        <v>40426</v>
      </c>
      <c r="V6" s="276"/>
      <c r="W6" s="175" t="s">
        <v>476</v>
      </c>
      <c r="X6" s="276">
        <v>40456</v>
      </c>
      <c r="Y6" s="273" t="s">
        <v>1859</v>
      </c>
      <c r="Z6" s="276">
        <v>40487</v>
      </c>
      <c r="AA6" s="273" t="s">
        <v>252</v>
      </c>
      <c r="AB6" s="276">
        <v>40517</v>
      </c>
    </row>
    <row r="7" spans="1:28" x14ac:dyDescent="0.25">
      <c r="A7" s="273" t="s">
        <v>476</v>
      </c>
      <c r="B7" s="257">
        <v>40184</v>
      </c>
      <c r="C7" s="273" t="s">
        <v>1859</v>
      </c>
      <c r="D7" s="275">
        <v>40215</v>
      </c>
      <c r="F7" s="273" t="s">
        <v>1861</v>
      </c>
      <c r="G7" s="256">
        <v>40243</v>
      </c>
      <c r="H7" s="95" t="s">
        <v>476</v>
      </c>
      <c r="I7" s="275">
        <v>40274</v>
      </c>
      <c r="J7" s="175" t="s">
        <v>487</v>
      </c>
      <c r="K7" s="256">
        <v>40304</v>
      </c>
      <c r="L7" s="278"/>
      <c r="M7" s="273" t="s">
        <v>252</v>
      </c>
      <c r="N7" s="258">
        <v>40335</v>
      </c>
      <c r="O7" s="258"/>
      <c r="P7" s="95" t="s">
        <v>476</v>
      </c>
      <c r="Q7" s="256">
        <v>40365</v>
      </c>
      <c r="R7" s="95" t="s">
        <v>1859</v>
      </c>
      <c r="S7" s="257">
        <v>40396</v>
      </c>
      <c r="T7" s="273" t="s">
        <v>1860</v>
      </c>
      <c r="U7" s="276">
        <v>40427</v>
      </c>
      <c r="V7" s="276"/>
      <c r="W7" s="175" t="s">
        <v>487</v>
      </c>
      <c r="X7" s="276">
        <v>40457</v>
      </c>
      <c r="Y7" s="273" t="s">
        <v>1861</v>
      </c>
      <c r="Z7" s="276">
        <v>40488</v>
      </c>
      <c r="AA7" s="273" t="s">
        <v>1860</v>
      </c>
      <c r="AB7" s="276">
        <v>40518</v>
      </c>
    </row>
    <row r="8" spans="1:28" x14ac:dyDescent="0.25">
      <c r="A8" s="273" t="s">
        <v>487</v>
      </c>
      <c r="B8" s="257">
        <v>40185</v>
      </c>
      <c r="C8" s="273" t="s">
        <v>1861</v>
      </c>
      <c r="D8" s="275">
        <v>40216</v>
      </c>
      <c r="F8" s="274" t="s">
        <v>252</v>
      </c>
      <c r="G8" s="275">
        <v>40244</v>
      </c>
      <c r="H8" s="95" t="s">
        <v>487</v>
      </c>
      <c r="I8" s="275">
        <v>40275</v>
      </c>
      <c r="J8" s="273" t="s">
        <v>1859</v>
      </c>
      <c r="K8" s="256">
        <v>40305</v>
      </c>
      <c r="L8" s="278"/>
      <c r="M8" s="273" t="s">
        <v>1860</v>
      </c>
      <c r="N8" s="258">
        <v>40336</v>
      </c>
      <c r="O8" s="258"/>
      <c r="P8" s="95" t="s">
        <v>487</v>
      </c>
      <c r="Q8" s="256">
        <v>40366</v>
      </c>
      <c r="R8" s="95" t="s">
        <v>1861</v>
      </c>
      <c r="S8" s="257">
        <v>40397</v>
      </c>
      <c r="T8" s="175" t="s">
        <v>476</v>
      </c>
      <c r="U8" s="276">
        <v>40428</v>
      </c>
      <c r="V8" s="276"/>
      <c r="W8" s="175" t="s">
        <v>487</v>
      </c>
      <c r="X8" s="276">
        <v>40458</v>
      </c>
      <c r="Y8" s="273" t="s">
        <v>252</v>
      </c>
      <c r="Z8" s="276">
        <v>40489</v>
      </c>
      <c r="AA8" s="175" t="s">
        <v>476</v>
      </c>
      <c r="AB8" s="276">
        <v>40519</v>
      </c>
    </row>
    <row r="9" spans="1:28" x14ac:dyDescent="0.25">
      <c r="A9" s="175" t="s">
        <v>487</v>
      </c>
      <c r="B9" s="257">
        <v>40186</v>
      </c>
      <c r="C9" s="95" t="s">
        <v>252</v>
      </c>
      <c r="D9" s="275">
        <v>40217</v>
      </c>
      <c r="F9" s="274" t="s">
        <v>1860</v>
      </c>
      <c r="G9" s="275">
        <v>40245</v>
      </c>
      <c r="H9" s="95" t="s">
        <v>487</v>
      </c>
      <c r="I9" s="275">
        <v>40276</v>
      </c>
      <c r="J9" s="95" t="s">
        <v>1861</v>
      </c>
      <c r="K9" s="275">
        <v>40306</v>
      </c>
      <c r="L9" s="278"/>
      <c r="M9" s="175" t="s">
        <v>476</v>
      </c>
      <c r="N9" s="258">
        <v>40337</v>
      </c>
      <c r="O9" s="258"/>
      <c r="P9" s="95" t="s">
        <v>487</v>
      </c>
      <c r="Q9" s="256">
        <v>40367</v>
      </c>
      <c r="R9" s="95" t="s">
        <v>252</v>
      </c>
      <c r="S9" s="257">
        <v>40398</v>
      </c>
      <c r="T9" s="175" t="s">
        <v>487</v>
      </c>
      <c r="U9" s="276">
        <v>40429</v>
      </c>
      <c r="V9" s="276"/>
      <c r="W9" s="273" t="s">
        <v>1859</v>
      </c>
      <c r="X9" s="276">
        <v>40459</v>
      </c>
      <c r="Y9" s="273" t="s">
        <v>1860</v>
      </c>
      <c r="Z9" s="276">
        <v>40490</v>
      </c>
      <c r="AA9" s="175" t="s">
        <v>487</v>
      </c>
      <c r="AB9" s="276">
        <v>40520</v>
      </c>
    </row>
    <row r="10" spans="1:28" x14ac:dyDescent="0.25">
      <c r="A10" s="273" t="s">
        <v>1859</v>
      </c>
      <c r="B10" s="257">
        <v>40187</v>
      </c>
      <c r="C10" s="95" t="s">
        <v>1860</v>
      </c>
      <c r="D10" s="275">
        <v>40218</v>
      </c>
      <c r="F10" s="175" t="s">
        <v>476</v>
      </c>
      <c r="G10" s="275">
        <v>40246</v>
      </c>
      <c r="H10" s="95" t="s">
        <v>1859</v>
      </c>
      <c r="I10" s="275">
        <v>40277</v>
      </c>
      <c r="J10" s="274" t="s">
        <v>252</v>
      </c>
      <c r="K10" s="275">
        <v>40307</v>
      </c>
      <c r="L10" s="278"/>
      <c r="M10" s="175" t="s">
        <v>487</v>
      </c>
      <c r="N10" s="258">
        <v>40338</v>
      </c>
      <c r="O10" s="258"/>
      <c r="P10" s="95" t="s">
        <v>1859</v>
      </c>
      <c r="Q10" s="256">
        <v>40368</v>
      </c>
      <c r="R10" s="95" t="s">
        <v>1860</v>
      </c>
      <c r="S10" s="257">
        <v>40399</v>
      </c>
      <c r="T10" s="175" t="s">
        <v>487</v>
      </c>
      <c r="U10" s="276">
        <v>40430</v>
      </c>
      <c r="V10" s="276"/>
      <c r="W10" s="273" t="s">
        <v>1861</v>
      </c>
      <c r="X10" s="276">
        <v>40460</v>
      </c>
      <c r="Y10" s="175" t="s">
        <v>476</v>
      </c>
      <c r="Z10" s="276">
        <v>40491</v>
      </c>
      <c r="AA10" s="175" t="s">
        <v>487</v>
      </c>
      <c r="AB10" s="276">
        <v>40521</v>
      </c>
    </row>
    <row r="11" spans="1:28" x14ac:dyDescent="0.25">
      <c r="A11" s="273" t="s">
        <v>1861</v>
      </c>
      <c r="B11" s="257">
        <v>40188</v>
      </c>
      <c r="C11" s="95" t="s">
        <v>476</v>
      </c>
      <c r="D11" s="275">
        <v>40219</v>
      </c>
      <c r="F11" s="175" t="s">
        <v>487</v>
      </c>
      <c r="G11" s="275">
        <v>40247</v>
      </c>
      <c r="H11" s="95" t="s">
        <v>1861</v>
      </c>
      <c r="I11" s="275">
        <v>40278</v>
      </c>
      <c r="J11" s="274" t="s">
        <v>1860</v>
      </c>
      <c r="K11" s="275">
        <v>40308</v>
      </c>
      <c r="L11" s="278"/>
      <c r="M11" s="175" t="s">
        <v>487</v>
      </c>
      <c r="N11" s="258">
        <v>40339</v>
      </c>
      <c r="O11" s="258"/>
      <c r="P11" s="95" t="s">
        <v>1861</v>
      </c>
      <c r="Q11" s="256">
        <v>40369</v>
      </c>
      <c r="R11" s="95" t="s">
        <v>476</v>
      </c>
      <c r="S11" s="257">
        <v>40400</v>
      </c>
      <c r="T11" s="273" t="s">
        <v>1859</v>
      </c>
      <c r="U11" s="276">
        <v>40431</v>
      </c>
      <c r="V11" s="276"/>
      <c r="W11" s="273" t="s">
        <v>252</v>
      </c>
      <c r="X11" s="276">
        <v>40461</v>
      </c>
      <c r="Y11" s="175" t="s">
        <v>487</v>
      </c>
      <c r="Z11" s="276">
        <v>40492</v>
      </c>
      <c r="AA11" s="273" t="s">
        <v>1859</v>
      </c>
      <c r="AB11" s="276">
        <v>40522</v>
      </c>
    </row>
    <row r="12" spans="1:28" x14ac:dyDescent="0.25">
      <c r="A12" s="274" t="s">
        <v>252</v>
      </c>
      <c r="B12" s="257">
        <v>40189</v>
      </c>
      <c r="C12" s="95" t="s">
        <v>487</v>
      </c>
      <c r="D12" s="275">
        <v>40220</v>
      </c>
      <c r="F12" s="175" t="s">
        <v>487</v>
      </c>
      <c r="G12" s="275">
        <v>40248</v>
      </c>
      <c r="H12" s="95" t="s">
        <v>252</v>
      </c>
      <c r="I12" s="275">
        <v>40279</v>
      </c>
      <c r="J12" s="175" t="s">
        <v>476</v>
      </c>
      <c r="K12" s="275">
        <v>40309</v>
      </c>
      <c r="L12" s="278"/>
      <c r="M12" s="273" t="s">
        <v>1859</v>
      </c>
      <c r="N12" s="258">
        <v>40340</v>
      </c>
      <c r="O12" s="258"/>
      <c r="P12" s="95" t="s">
        <v>252</v>
      </c>
      <c r="Q12" s="256">
        <v>40370</v>
      </c>
      <c r="R12" s="95" t="s">
        <v>487</v>
      </c>
      <c r="S12" s="257">
        <v>40401</v>
      </c>
      <c r="T12" s="273" t="s">
        <v>1861</v>
      </c>
      <c r="U12" s="276">
        <v>40432</v>
      </c>
      <c r="V12" s="276"/>
      <c r="W12" s="273" t="s">
        <v>1860</v>
      </c>
      <c r="X12" s="276">
        <v>40462</v>
      </c>
      <c r="Y12" s="175" t="s">
        <v>487</v>
      </c>
      <c r="Z12" s="276">
        <v>40493</v>
      </c>
      <c r="AA12" s="273" t="s">
        <v>1861</v>
      </c>
      <c r="AB12" s="276">
        <v>40523</v>
      </c>
    </row>
    <row r="13" spans="1:28" x14ac:dyDescent="0.25">
      <c r="A13" s="274" t="s">
        <v>1860</v>
      </c>
      <c r="B13" s="257">
        <v>40190</v>
      </c>
      <c r="C13" s="95" t="s">
        <v>487</v>
      </c>
      <c r="D13" s="275">
        <v>40221</v>
      </c>
      <c r="F13" s="273" t="s">
        <v>1859</v>
      </c>
      <c r="G13" s="275">
        <v>40249</v>
      </c>
      <c r="H13" s="95" t="s">
        <v>1860</v>
      </c>
      <c r="I13" s="256">
        <v>40280</v>
      </c>
      <c r="J13" s="175" t="s">
        <v>487</v>
      </c>
      <c r="K13" s="275">
        <v>40310</v>
      </c>
      <c r="L13" s="278"/>
      <c r="M13" s="273" t="s">
        <v>1861</v>
      </c>
      <c r="N13" s="258">
        <v>40341</v>
      </c>
      <c r="O13" s="258"/>
      <c r="P13" s="95" t="s">
        <v>1860</v>
      </c>
      <c r="Q13" s="256">
        <v>40371</v>
      </c>
      <c r="R13" s="95" t="s">
        <v>487</v>
      </c>
      <c r="S13" s="257">
        <v>40402</v>
      </c>
      <c r="T13" s="273" t="s">
        <v>252</v>
      </c>
      <c r="U13" s="276">
        <v>40433</v>
      </c>
      <c r="V13" s="276" t="s">
        <v>2113</v>
      </c>
      <c r="W13" s="175" t="s">
        <v>476</v>
      </c>
      <c r="X13" s="276">
        <v>40463</v>
      </c>
      <c r="Y13" s="273" t="s">
        <v>1859</v>
      </c>
      <c r="Z13" s="276">
        <v>40494</v>
      </c>
      <c r="AA13" s="273" t="s">
        <v>252</v>
      </c>
      <c r="AB13" s="276">
        <v>40524</v>
      </c>
    </row>
    <row r="14" spans="1:28" x14ac:dyDescent="0.25">
      <c r="A14" s="273" t="s">
        <v>476</v>
      </c>
      <c r="B14" s="257">
        <v>40191</v>
      </c>
      <c r="C14" s="95" t="s">
        <v>1859</v>
      </c>
      <c r="D14" s="275">
        <v>40222</v>
      </c>
      <c r="F14" s="273" t="s">
        <v>1861</v>
      </c>
      <c r="G14" s="275">
        <v>40250</v>
      </c>
      <c r="H14" s="95" t="s">
        <v>476</v>
      </c>
      <c r="I14" s="256">
        <v>40281</v>
      </c>
      <c r="J14" s="175" t="s">
        <v>487</v>
      </c>
      <c r="K14" s="275">
        <v>40311</v>
      </c>
      <c r="L14" s="278"/>
      <c r="M14" s="273" t="s">
        <v>252</v>
      </c>
      <c r="N14" s="258">
        <v>40342</v>
      </c>
      <c r="O14" s="258"/>
      <c r="P14" s="95" t="s">
        <v>476</v>
      </c>
      <c r="Q14" s="256">
        <v>40372</v>
      </c>
      <c r="R14" s="95" t="s">
        <v>1859</v>
      </c>
      <c r="S14" s="257">
        <v>40403</v>
      </c>
      <c r="T14" s="273" t="s">
        <v>1860</v>
      </c>
      <c r="U14" s="276">
        <v>40434</v>
      </c>
      <c r="V14" s="276" t="s">
        <v>2113</v>
      </c>
      <c r="W14" s="175" t="s">
        <v>487</v>
      </c>
      <c r="X14" s="276">
        <v>40464</v>
      </c>
      <c r="Y14" s="273" t="s">
        <v>1861</v>
      </c>
      <c r="Z14" s="276">
        <v>40495</v>
      </c>
      <c r="AA14" s="273" t="s">
        <v>1860</v>
      </c>
      <c r="AB14" s="276">
        <v>40525</v>
      </c>
    </row>
    <row r="15" spans="1:28" x14ac:dyDescent="0.25">
      <c r="A15" s="273" t="s">
        <v>487</v>
      </c>
      <c r="B15" s="257">
        <v>40192</v>
      </c>
      <c r="C15" s="95" t="s">
        <v>1861</v>
      </c>
      <c r="D15" s="275">
        <v>40223</v>
      </c>
      <c r="F15" s="274" t="s">
        <v>252</v>
      </c>
      <c r="G15" s="256">
        <v>40251</v>
      </c>
      <c r="H15" s="95" t="s">
        <v>487</v>
      </c>
      <c r="I15" s="256">
        <v>40282</v>
      </c>
      <c r="J15" s="273" t="s">
        <v>1859</v>
      </c>
      <c r="K15" s="275">
        <v>40312</v>
      </c>
      <c r="L15" s="278"/>
      <c r="M15" s="273" t="s">
        <v>1860</v>
      </c>
      <c r="N15" s="258">
        <v>40343</v>
      </c>
      <c r="O15" s="258"/>
      <c r="P15" s="95" t="s">
        <v>487</v>
      </c>
      <c r="Q15" s="256">
        <v>40373</v>
      </c>
      <c r="R15" s="95" t="s">
        <v>1861</v>
      </c>
      <c r="S15" s="257">
        <v>40404</v>
      </c>
      <c r="T15" s="175" t="s">
        <v>476</v>
      </c>
      <c r="U15" s="276">
        <v>40435</v>
      </c>
      <c r="V15" s="276"/>
      <c r="W15" s="175" t="s">
        <v>487</v>
      </c>
      <c r="X15" s="276">
        <v>40465</v>
      </c>
      <c r="Y15" s="273" t="s">
        <v>252</v>
      </c>
      <c r="Z15" s="276">
        <v>40496</v>
      </c>
      <c r="AA15" s="175" t="s">
        <v>476</v>
      </c>
      <c r="AB15" s="276">
        <v>40526</v>
      </c>
    </row>
    <row r="16" spans="1:28" x14ac:dyDescent="0.25">
      <c r="A16" s="175" t="s">
        <v>487</v>
      </c>
      <c r="B16" s="257">
        <v>40193</v>
      </c>
      <c r="C16" s="95" t="s">
        <v>252</v>
      </c>
      <c r="D16" s="256">
        <v>40224</v>
      </c>
      <c r="F16" s="274" t="s">
        <v>1860</v>
      </c>
      <c r="G16" s="256">
        <v>40252</v>
      </c>
      <c r="H16" s="95" t="s">
        <v>487</v>
      </c>
      <c r="I16" s="256">
        <v>40283</v>
      </c>
      <c r="J16" s="273" t="s">
        <v>1861</v>
      </c>
      <c r="K16" s="275">
        <v>40313</v>
      </c>
      <c r="L16" s="278"/>
      <c r="M16" s="175" t="s">
        <v>476</v>
      </c>
      <c r="N16" s="258">
        <v>40344</v>
      </c>
      <c r="O16" s="258"/>
      <c r="P16" s="95" t="s">
        <v>487</v>
      </c>
      <c r="Q16" s="256">
        <v>40374</v>
      </c>
      <c r="R16" s="95" t="s">
        <v>252</v>
      </c>
      <c r="S16" s="257">
        <v>40405</v>
      </c>
      <c r="T16" s="175" t="s">
        <v>487</v>
      </c>
      <c r="U16" s="276">
        <v>40436</v>
      </c>
      <c r="V16" s="276"/>
      <c r="W16" s="273" t="s">
        <v>1859</v>
      </c>
      <c r="X16" s="276">
        <v>40466</v>
      </c>
      <c r="Y16" s="273" t="s">
        <v>1860</v>
      </c>
      <c r="Z16" s="276">
        <v>40497</v>
      </c>
      <c r="AA16" s="175" t="s">
        <v>487</v>
      </c>
      <c r="AB16" s="276">
        <v>40527</v>
      </c>
    </row>
    <row r="17" spans="1:31" x14ac:dyDescent="0.25">
      <c r="A17" s="273" t="s">
        <v>1859</v>
      </c>
      <c r="B17" s="257">
        <v>40194</v>
      </c>
      <c r="C17" s="95" t="s">
        <v>1860</v>
      </c>
      <c r="D17" s="256">
        <v>40225</v>
      </c>
      <c r="F17" s="175" t="s">
        <v>476</v>
      </c>
      <c r="G17" s="256">
        <v>40253</v>
      </c>
      <c r="H17" s="95" t="s">
        <v>1859</v>
      </c>
      <c r="I17" s="256">
        <v>40284</v>
      </c>
      <c r="J17" s="273" t="s">
        <v>252</v>
      </c>
      <c r="K17" s="275">
        <v>40314</v>
      </c>
      <c r="L17" s="278" t="s">
        <v>2111</v>
      </c>
      <c r="M17" s="175" t="s">
        <v>487</v>
      </c>
      <c r="N17" s="258">
        <v>40345</v>
      </c>
      <c r="O17" s="258"/>
      <c r="P17" s="95" t="s">
        <v>1859</v>
      </c>
      <c r="Q17" s="256">
        <v>40375</v>
      </c>
      <c r="R17" s="95" t="s">
        <v>1860</v>
      </c>
      <c r="S17" s="257">
        <v>40406</v>
      </c>
      <c r="T17" s="175" t="s">
        <v>487</v>
      </c>
      <c r="U17" s="276">
        <v>40437</v>
      </c>
      <c r="V17" s="276"/>
      <c r="W17" s="273" t="s">
        <v>1861</v>
      </c>
      <c r="X17" s="276">
        <v>40467</v>
      </c>
      <c r="Y17" s="175" t="s">
        <v>476</v>
      </c>
      <c r="Z17" s="276">
        <v>40498</v>
      </c>
      <c r="AA17" s="175" t="s">
        <v>487</v>
      </c>
      <c r="AB17" s="276">
        <v>40528</v>
      </c>
    </row>
    <row r="18" spans="1:31" x14ac:dyDescent="0.25">
      <c r="A18" s="273" t="s">
        <v>1861</v>
      </c>
      <c r="B18" s="256">
        <v>40195</v>
      </c>
      <c r="C18" s="95" t="s">
        <v>476</v>
      </c>
      <c r="D18" s="256">
        <v>40226</v>
      </c>
      <c r="F18" s="175" t="s">
        <v>487</v>
      </c>
      <c r="G18" s="256">
        <v>40254</v>
      </c>
      <c r="H18" s="95" t="s">
        <v>1861</v>
      </c>
      <c r="I18" s="256">
        <v>40285</v>
      </c>
      <c r="J18" s="273" t="s">
        <v>1860</v>
      </c>
      <c r="K18" s="275">
        <v>40315</v>
      </c>
      <c r="L18" s="278"/>
      <c r="M18" s="175" t="s">
        <v>487</v>
      </c>
      <c r="N18" s="258">
        <v>40346</v>
      </c>
      <c r="O18" s="258"/>
      <c r="P18" s="95" t="s">
        <v>1861</v>
      </c>
      <c r="Q18" s="256">
        <v>40376</v>
      </c>
      <c r="R18" s="95" t="s">
        <v>476</v>
      </c>
      <c r="S18" s="257">
        <v>40407</v>
      </c>
      <c r="T18" s="273" t="s">
        <v>1859</v>
      </c>
      <c r="U18" s="276">
        <v>40438</v>
      </c>
      <c r="V18" s="276"/>
      <c r="W18" s="273" t="s">
        <v>252</v>
      </c>
      <c r="X18" s="276">
        <v>40468</v>
      </c>
      <c r="Y18" s="175" t="s">
        <v>487</v>
      </c>
      <c r="Z18" s="276">
        <v>40499</v>
      </c>
      <c r="AA18" s="273" t="s">
        <v>1859</v>
      </c>
      <c r="AB18" s="276">
        <v>40529</v>
      </c>
    </row>
    <row r="19" spans="1:31" x14ac:dyDescent="0.25">
      <c r="A19" s="274" t="s">
        <v>252</v>
      </c>
      <c r="B19" s="256">
        <v>40196</v>
      </c>
      <c r="C19" s="95" t="s">
        <v>487</v>
      </c>
      <c r="D19" s="256">
        <v>40227</v>
      </c>
      <c r="F19" s="175" t="s">
        <v>487</v>
      </c>
      <c r="G19" s="256">
        <v>40255</v>
      </c>
      <c r="H19" s="95" t="s">
        <v>252</v>
      </c>
      <c r="I19" s="256">
        <v>40286</v>
      </c>
      <c r="J19" s="175" t="s">
        <v>476</v>
      </c>
      <c r="K19" s="275">
        <v>40316</v>
      </c>
      <c r="L19" s="278"/>
      <c r="M19" s="273" t="s">
        <v>1859</v>
      </c>
      <c r="N19" s="258">
        <v>40347</v>
      </c>
      <c r="O19" s="258"/>
      <c r="P19" s="95" t="s">
        <v>252</v>
      </c>
      <c r="Q19" s="256">
        <v>40377</v>
      </c>
      <c r="R19" s="95" t="s">
        <v>487</v>
      </c>
      <c r="S19" s="257">
        <v>40408</v>
      </c>
      <c r="T19" s="273" t="s">
        <v>1861</v>
      </c>
      <c r="U19" s="276">
        <v>40439</v>
      </c>
      <c r="V19" s="276"/>
      <c r="W19" s="273" t="s">
        <v>1860</v>
      </c>
      <c r="X19" s="276">
        <v>40469</v>
      </c>
      <c r="Y19" s="175" t="s">
        <v>487</v>
      </c>
      <c r="Z19" s="276">
        <v>40500</v>
      </c>
      <c r="AA19" s="273" t="s">
        <v>1861</v>
      </c>
      <c r="AB19" s="276">
        <v>40530</v>
      </c>
    </row>
    <row r="20" spans="1:31" x14ac:dyDescent="0.25">
      <c r="A20" s="274" t="s">
        <v>1860</v>
      </c>
      <c r="B20" s="256">
        <v>40197</v>
      </c>
      <c r="C20" s="95" t="s">
        <v>487</v>
      </c>
      <c r="D20" s="256">
        <v>40228</v>
      </c>
      <c r="F20" s="273" t="s">
        <v>1859</v>
      </c>
      <c r="G20" s="256">
        <v>40256</v>
      </c>
      <c r="H20" s="95" t="s">
        <v>1860</v>
      </c>
      <c r="I20" s="256">
        <v>40287</v>
      </c>
      <c r="J20" s="175" t="s">
        <v>487</v>
      </c>
      <c r="K20" s="275">
        <v>40317</v>
      </c>
      <c r="L20" s="278"/>
      <c r="M20" s="273" t="s">
        <v>1861</v>
      </c>
      <c r="N20" s="258">
        <v>40348</v>
      </c>
      <c r="O20" s="258"/>
      <c r="P20" s="95" t="s">
        <v>1860</v>
      </c>
      <c r="Q20" s="256">
        <v>40378</v>
      </c>
      <c r="R20" s="95" t="s">
        <v>487</v>
      </c>
      <c r="S20" s="257">
        <v>40409</v>
      </c>
      <c r="T20" s="273" t="s">
        <v>252</v>
      </c>
      <c r="U20" s="276">
        <v>40440</v>
      </c>
      <c r="V20" s="276"/>
      <c r="W20" s="175" t="s">
        <v>476</v>
      </c>
      <c r="X20" s="276">
        <v>40470</v>
      </c>
      <c r="Y20" s="273" t="s">
        <v>1859</v>
      </c>
      <c r="Z20" s="276">
        <v>40501</v>
      </c>
      <c r="AA20" s="273" t="s">
        <v>252</v>
      </c>
      <c r="AB20" s="276">
        <v>40531</v>
      </c>
    </row>
    <row r="21" spans="1:31" x14ac:dyDescent="0.25">
      <c r="A21" s="273" t="s">
        <v>476</v>
      </c>
      <c r="B21" s="256">
        <v>40198</v>
      </c>
      <c r="C21" s="95" t="s">
        <v>1859</v>
      </c>
      <c r="D21" s="256">
        <v>40229</v>
      </c>
      <c r="F21" s="273" t="s">
        <v>1861</v>
      </c>
      <c r="G21" s="256">
        <v>40257</v>
      </c>
      <c r="H21" s="175" t="s">
        <v>476</v>
      </c>
      <c r="I21" s="275">
        <v>40288</v>
      </c>
      <c r="J21" s="175" t="s">
        <v>487</v>
      </c>
      <c r="K21" s="275">
        <v>40318</v>
      </c>
      <c r="L21" s="278"/>
      <c r="M21" s="273" t="s">
        <v>252</v>
      </c>
      <c r="N21" s="258">
        <v>40349</v>
      </c>
      <c r="O21" s="258"/>
      <c r="P21" s="95" t="s">
        <v>476</v>
      </c>
      <c r="Q21" s="256">
        <v>40379</v>
      </c>
      <c r="R21" s="95" t="s">
        <v>1859</v>
      </c>
      <c r="S21" s="257">
        <v>40410</v>
      </c>
      <c r="T21" s="273" t="s">
        <v>1860</v>
      </c>
      <c r="U21" s="276">
        <v>40441</v>
      </c>
      <c r="V21" s="276"/>
      <c r="W21" s="175" t="s">
        <v>487</v>
      </c>
      <c r="X21" s="276">
        <v>40471</v>
      </c>
      <c r="Y21" s="273" t="s">
        <v>1861</v>
      </c>
      <c r="Z21" s="276">
        <v>40502</v>
      </c>
      <c r="AA21" s="273" t="s">
        <v>1860</v>
      </c>
      <c r="AB21" s="276">
        <v>40532</v>
      </c>
    </row>
    <row r="22" spans="1:31" x14ac:dyDescent="0.25">
      <c r="A22" s="273" t="s">
        <v>487</v>
      </c>
      <c r="B22" s="256">
        <v>40199</v>
      </c>
      <c r="C22" s="95" t="s">
        <v>1861</v>
      </c>
      <c r="D22" s="256">
        <v>40230</v>
      </c>
      <c r="F22" s="273" t="s">
        <v>252</v>
      </c>
      <c r="G22" s="275">
        <v>40258</v>
      </c>
      <c r="H22" s="175" t="s">
        <v>487</v>
      </c>
      <c r="I22" s="275">
        <v>40289</v>
      </c>
      <c r="J22" s="277" t="s">
        <v>1859</v>
      </c>
      <c r="K22" s="256">
        <v>40319</v>
      </c>
      <c r="L22" s="278"/>
      <c r="M22" s="273" t="s">
        <v>1860</v>
      </c>
      <c r="N22" s="258">
        <v>40350</v>
      </c>
      <c r="O22" s="258"/>
      <c r="P22" s="95" t="s">
        <v>487</v>
      </c>
      <c r="Q22" s="256">
        <v>40380</v>
      </c>
      <c r="R22" s="95" t="s">
        <v>1861</v>
      </c>
      <c r="S22" s="257">
        <v>40411</v>
      </c>
      <c r="T22" s="175" t="s">
        <v>476</v>
      </c>
      <c r="U22" s="276">
        <v>40442</v>
      </c>
      <c r="V22" s="276"/>
      <c r="W22" s="175" t="s">
        <v>487</v>
      </c>
      <c r="X22" s="276">
        <v>40472</v>
      </c>
      <c r="Y22" s="273" t="s">
        <v>252</v>
      </c>
      <c r="Z22" s="276">
        <v>40503</v>
      </c>
      <c r="AA22" s="175" t="s">
        <v>476</v>
      </c>
      <c r="AB22" s="276">
        <v>40533</v>
      </c>
    </row>
    <row r="23" spans="1:31" x14ac:dyDescent="0.25">
      <c r="A23" s="175" t="s">
        <v>487</v>
      </c>
      <c r="B23" s="256">
        <v>40200</v>
      </c>
      <c r="C23" s="95" t="s">
        <v>252</v>
      </c>
      <c r="D23" s="256">
        <v>40231</v>
      </c>
      <c r="F23" s="273" t="s">
        <v>1860</v>
      </c>
      <c r="G23" s="275">
        <v>40259</v>
      </c>
      <c r="H23" s="175" t="s">
        <v>487</v>
      </c>
      <c r="I23" s="275">
        <v>40290</v>
      </c>
      <c r="J23" s="274" t="s">
        <v>1861</v>
      </c>
      <c r="K23" s="256">
        <v>40320</v>
      </c>
      <c r="L23" s="278"/>
      <c r="M23" s="175" t="s">
        <v>476</v>
      </c>
      <c r="N23" s="258">
        <v>40351</v>
      </c>
      <c r="O23" s="258"/>
      <c r="P23" s="95" t="s">
        <v>487</v>
      </c>
      <c r="Q23" s="256">
        <v>40381</v>
      </c>
      <c r="R23" s="95" t="s">
        <v>252</v>
      </c>
      <c r="S23" s="257">
        <v>40412</v>
      </c>
      <c r="T23" s="175" t="s">
        <v>487</v>
      </c>
      <c r="U23" s="276">
        <v>40443</v>
      </c>
      <c r="V23" s="276"/>
      <c r="W23" s="273" t="s">
        <v>1859</v>
      </c>
      <c r="X23" s="276">
        <v>40473</v>
      </c>
      <c r="Y23" s="273" t="s">
        <v>1860</v>
      </c>
      <c r="Z23" s="276">
        <v>40504</v>
      </c>
      <c r="AA23" s="175" t="s">
        <v>487</v>
      </c>
      <c r="AB23" s="276">
        <v>40534</v>
      </c>
    </row>
    <row r="24" spans="1:31" x14ac:dyDescent="0.25">
      <c r="A24" s="273" t="s">
        <v>1859</v>
      </c>
      <c r="B24" s="256">
        <v>40201</v>
      </c>
      <c r="C24" s="95" t="s">
        <v>1860</v>
      </c>
      <c r="D24" s="256">
        <v>40232</v>
      </c>
      <c r="F24" s="175" t="s">
        <v>476</v>
      </c>
      <c r="G24" s="275">
        <v>40260</v>
      </c>
      <c r="H24" s="273" t="s">
        <v>1859</v>
      </c>
      <c r="I24" s="275">
        <v>40291</v>
      </c>
      <c r="J24" s="274" t="s">
        <v>252</v>
      </c>
      <c r="K24" s="256">
        <v>40321</v>
      </c>
      <c r="L24" s="278"/>
      <c r="M24" s="175" t="s">
        <v>487</v>
      </c>
      <c r="N24" s="258">
        <v>40352</v>
      </c>
      <c r="O24" s="258" t="s">
        <v>2108</v>
      </c>
      <c r="P24" s="95" t="s">
        <v>1859</v>
      </c>
      <c r="Q24" s="256">
        <v>40382</v>
      </c>
      <c r="R24" s="95" t="s">
        <v>1860</v>
      </c>
      <c r="S24" s="257">
        <v>40413</v>
      </c>
      <c r="T24" s="175" t="s">
        <v>487</v>
      </c>
      <c r="U24" s="276">
        <v>40444</v>
      </c>
      <c r="V24" s="276"/>
      <c r="W24" s="273" t="s">
        <v>1861</v>
      </c>
      <c r="X24" s="276">
        <v>40474</v>
      </c>
      <c r="Y24" s="175" t="s">
        <v>476</v>
      </c>
      <c r="Z24" s="276">
        <v>40505</v>
      </c>
      <c r="AA24" s="175" t="s">
        <v>487</v>
      </c>
      <c r="AB24" s="276">
        <v>40535</v>
      </c>
    </row>
    <row r="25" spans="1:31" x14ac:dyDescent="0.25">
      <c r="A25" s="273" t="s">
        <v>1861</v>
      </c>
      <c r="B25" s="256">
        <v>40202</v>
      </c>
      <c r="C25" s="175" t="s">
        <v>476</v>
      </c>
      <c r="D25" s="256">
        <v>40233</v>
      </c>
      <c r="F25" s="175" t="s">
        <v>487</v>
      </c>
      <c r="G25" s="275">
        <v>40261</v>
      </c>
      <c r="H25" s="273" t="s">
        <v>1861</v>
      </c>
      <c r="I25" s="275">
        <v>40292</v>
      </c>
      <c r="J25" s="274" t="s">
        <v>1860</v>
      </c>
      <c r="K25" s="256">
        <v>40322</v>
      </c>
      <c r="L25" s="278"/>
      <c r="M25" s="175" t="s">
        <v>487</v>
      </c>
      <c r="N25" s="258">
        <v>40353</v>
      </c>
      <c r="O25" s="258"/>
      <c r="P25" s="95" t="s">
        <v>1861</v>
      </c>
      <c r="Q25" s="256">
        <v>40383</v>
      </c>
      <c r="R25" s="95" t="s">
        <v>476</v>
      </c>
      <c r="S25" s="257">
        <v>40414</v>
      </c>
      <c r="T25" s="273" t="s">
        <v>1859</v>
      </c>
      <c r="U25" s="276">
        <v>40445</v>
      </c>
      <c r="V25" s="276"/>
      <c r="W25" s="273" t="s">
        <v>252</v>
      </c>
      <c r="X25" s="276">
        <v>40475</v>
      </c>
      <c r="Y25" s="175" t="s">
        <v>487</v>
      </c>
      <c r="Z25" s="276">
        <v>40506</v>
      </c>
      <c r="AA25" s="273" t="s">
        <v>1859</v>
      </c>
      <c r="AB25" s="276">
        <v>40536</v>
      </c>
    </row>
    <row r="26" spans="1:31" x14ac:dyDescent="0.25">
      <c r="A26" s="274" t="s">
        <v>252</v>
      </c>
      <c r="B26" s="256">
        <v>40203</v>
      </c>
      <c r="C26" s="175" t="s">
        <v>487</v>
      </c>
      <c r="D26" s="256">
        <v>40234</v>
      </c>
      <c r="F26" s="175" t="s">
        <v>487</v>
      </c>
      <c r="G26" s="275">
        <v>40262</v>
      </c>
      <c r="H26" s="274" t="s">
        <v>252</v>
      </c>
      <c r="I26" s="256">
        <v>40293</v>
      </c>
      <c r="J26" s="175" t="s">
        <v>476</v>
      </c>
      <c r="K26" s="256">
        <v>40323</v>
      </c>
      <c r="L26" s="278"/>
      <c r="M26" s="273" t="s">
        <v>1859</v>
      </c>
      <c r="N26" s="258">
        <v>40354</v>
      </c>
      <c r="O26" s="258"/>
      <c r="P26" s="95" t="s">
        <v>252</v>
      </c>
      <c r="Q26" s="256">
        <v>40384</v>
      </c>
      <c r="R26" s="95" t="s">
        <v>487</v>
      </c>
      <c r="S26" s="257">
        <v>40415</v>
      </c>
      <c r="T26" s="273" t="s">
        <v>1861</v>
      </c>
      <c r="U26" s="276">
        <v>40446</v>
      </c>
      <c r="V26" s="276"/>
      <c r="W26" s="273" t="s">
        <v>1860</v>
      </c>
      <c r="X26" s="276">
        <v>40476</v>
      </c>
      <c r="Y26" s="175" t="s">
        <v>487</v>
      </c>
      <c r="Z26" s="276">
        <v>40507</v>
      </c>
      <c r="AA26" s="273" t="s">
        <v>1861</v>
      </c>
      <c r="AB26" s="276">
        <v>40537</v>
      </c>
      <c r="AE26" s="258"/>
    </row>
    <row r="27" spans="1:31" x14ac:dyDescent="0.25">
      <c r="A27" s="274" t="s">
        <v>1860</v>
      </c>
      <c r="B27" s="256">
        <v>40204</v>
      </c>
      <c r="C27" s="175" t="s">
        <v>487</v>
      </c>
      <c r="D27" s="256">
        <v>40235</v>
      </c>
      <c r="F27" s="273" t="s">
        <v>1859</v>
      </c>
      <c r="G27" s="275">
        <v>40263</v>
      </c>
      <c r="H27" s="274" t="s">
        <v>1860</v>
      </c>
      <c r="I27" s="256">
        <v>40294</v>
      </c>
      <c r="J27" s="175" t="s">
        <v>487</v>
      </c>
      <c r="K27" s="256">
        <v>40324</v>
      </c>
      <c r="L27" s="278"/>
      <c r="M27" s="273" t="s">
        <v>1861</v>
      </c>
      <c r="N27" s="258">
        <v>40355</v>
      </c>
      <c r="O27" s="258"/>
      <c r="P27" s="95" t="s">
        <v>1860</v>
      </c>
      <c r="Q27" s="256">
        <v>40385</v>
      </c>
      <c r="R27" s="95" t="s">
        <v>487</v>
      </c>
      <c r="S27" s="257">
        <v>40416</v>
      </c>
      <c r="T27" s="273" t="s">
        <v>252</v>
      </c>
      <c r="U27" s="276">
        <v>40447</v>
      </c>
      <c r="V27" s="276"/>
      <c r="W27" s="175" t="s">
        <v>476</v>
      </c>
      <c r="X27" s="276">
        <v>40477</v>
      </c>
      <c r="Y27" s="273" t="s">
        <v>1859</v>
      </c>
      <c r="Z27" s="276">
        <v>40508</v>
      </c>
      <c r="AA27" s="273" t="s">
        <v>252</v>
      </c>
      <c r="AB27" s="276">
        <v>40538</v>
      </c>
      <c r="AE27" s="258"/>
    </row>
    <row r="28" spans="1:31" x14ac:dyDescent="0.25">
      <c r="A28" s="273" t="s">
        <v>476</v>
      </c>
      <c r="B28" s="256">
        <v>40205</v>
      </c>
      <c r="C28" s="273" t="s">
        <v>1859</v>
      </c>
      <c r="D28" s="256">
        <v>40236</v>
      </c>
      <c r="F28" s="273" t="s">
        <v>1861</v>
      </c>
      <c r="G28" s="256">
        <v>40264</v>
      </c>
      <c r="H28" s="175" t="s">
        <v>476</v>
      </c>
      <c r="I28" s="256">
        <v>40295</v>
      </c>
      <c r="J28" s="175" t="s">
        <v>487</v>
      </c>
      <c r="K28" s="256">
        <v>40325</v>
      </c>
      <c r="L28" s="278"/>
      <c r="M28" s="273" t="s">
        <v>252</v>
      </c>
      <c r="N28" s="258">
        <v>40356</v>
      </c>
      <c r="O28" s="258"/>
      <c r="P28" s="95" t="s">
        <v>476</v>
      </c>
      <c r="Q28" s="256">
        <v>40386</v>
      </c>
      <c r="R28" s="95" t="s">
        <v>1859</v>
      </c>
      <c r="S28" s="257">
        <v>40417</v>
      </c>
      <c r="T28" s="273" t="s">
        <v>1860</v>
      </c>
      <c r="U28" s="276">
        <v>40448</v>
      </c>
      <c r="V28" s="276"/>
      <c r="W28" s="175" t="s">
        <v>487</v>
      </c>
      <c r="X28" s="276">
        <v>40478</v>
      </c>
      <c r="Y28" s="273" t="s">
        <v>1861</v>
      </c>
      <c r="Z28" s="276">
        <v>40509</v>
      </c>
      <c r="AA28" s="273" t="s">
        <v>1860</v>
      </c>
      <c r="AB28" s="276">
        <v>40539</v>
      </c>
    </row>
    <row r="29" spans="1:31" x14ac:dyDescent="0.25">
      <c r="A29" s="273" t="s">
        <v>487</v>
      </c>
      <c r="B29" s="256">
        <v>40206</v>
      </c>
      <c r="C29" s="273" t="s">
        <v>1861</v>
      </c>
      <c r="D29" s="256">
        <v>43889</v>
      </c>
      <c r="F29" s="274" t="s">
        <v>252</v>
      </c>
      <c r="G29" s="256">
        <v>40265</v>
      </c>
      <c r="H29" s="175" t="s">
        <v>487</v>
      </c>
      <c r="I29" s="256">
        <v>40296</v>
      </c>
      <c r="J29" s="273" t="s">
        <v>1859</v>
      </c>
      <c r="K29" s="256">
        <v>40326</v>
      </c>
      <c r="L29" s="278"/>
      <c r="M29" s="273" t="s">
        <v>1860</v>
      </c>
      <c r="N29" s="258">
        <v>40357</v>
      </c>
      <c r="O29" s="258"/>
      <c r="P29" s="95" t="s">
        <v>487</v>
      </c>
      <c r="Q29" s="256">
        <v>40387</v>
      </c>
      <c r="R29" s="95" t="s">
        <v>1861</v>
      </c>
      <c r="S29" s="257">
        <v>40418</v>
      </c>
      <c r="T29" s="273" t="s">
        <v>476</v>
      </c>
      <c r="U29" s="276">
        <v>40449</v>
      </c>
      <c r="V29" s="276"/>
      <c r="W29" s="175" t="s">
        <v>487</v>
      </c>
      <c r="X29" s="276">
        <v>40479</v>
      </c>
      <c r="Y29" s="273" t="s">
        <v>252</v>
      </c>
      <c r="Z29" s="276">
        <v>40510</v>
      </c>
      <c r="AA29" s="273" t="s">
        <v>476</v>
      </c>
      <c r="AB29" s="276">
        <v>40540</v>
      </c>
    </row>
    <row r="30" spans="1:31" x14ac:dyDescent="0.25">
      <c r="A30" s="175" t="s">
        <v>487</v>
      </c>
      <c r="B30" s="256">
        <v>40207</v>
      </c>
      <c r="C30" s="273" t="s">
        <v>252</v>
      </c>
      <c r="D30" s="256">
        <v>43890</v>
      </c>
      <c r="E30" t="s">
        <v>2109</v>
      </c>
      <c r="F30" s="274" t="s">
        <v>1860</v>
      </c>
      <c r="G30" s="256">
        <v>40266</v>
      </c>
      <c r="H30" s="273" t="s">
        <v>487</v>
      </c>
      <c r="I30" s="256">
        <v>40297</v>
      </c>
      <c r="J30" s="273" t="s">
        <v>1861</v>
      </c>
      <c r="K30" s="256">
        <v>40327</v>
      </c>
      <c r="L30" s="278"/>
      <c r="M30" s="273" t="s">
        <v>476</v>
      </c>
      <c r="N30" s="258">
        <v>40358</v>
      </c>
      <c r="O30" s="258"/>
      <c r="P30" s="95" t="s">
        <v>487</v>
      </c>
      <c r="Q30" s="256">
        <v>40388</v>
      </c>
      <c r="R30" s="95" t="s">
        <v>252</v>
      </c>
      <c r="S30" s="257">
        <v>40419</v>
      </c>
      <c r="T30" s="273" t="s">
        <v>487</v>
      </c>
      <c r="U30" s="276">
        <v>40450</v>
      </c>
      <c r="V30" s="276"/>
      <c r="W30" s="273" t="s">
        <v>1859</v>
      </c>
      <c r="X30" s="276">
        <v>40480</v>
      </c>
      <c r="Y30" s="273" t="s">
        <v>1860</v>
      </c>
      <c r="Z30" s="276">
        <v>40511</v>
      </c>
      <c r="AA30" s="273" t="s">
        <v>487</v>
      </c>
      <c r="AB30" s="276">
        <v>40541</v>
      </c>
    </row>
    <row r="31" spans="1:31" x14ac:dyDescent="0.25">
      <c r="A31" s="273" t="s">
        <v>1859</v>
      </c>
      <c r="B31" s="256">
        <v>40208</v>
      </c>
      <c r="D31" s="276"/>
      <c r="E31" s="276" t="s">
        <v>2110</v>
      </c>
      <c r="F31" s="175" t="s">
        <v>476</v>
      </c>
      <c r="G31" s="256">
        <v>40267</v>
      </c>
      <c r="H31" s="273" t="s">
        <v>1859</v>
      </c>
      <c r="I31" s="256">
        <v>40298</v>
      </c>
      <c r="J31" s="273" t="s">
        <v>252</v>
      </c>
      <c r="K31" s="258">
        <v>40328</v>
      </c>
      <c r="L31" s="278" t="s">
        <v>2112</v>
      </c>
      <c r="M31" s="273" t="s">
        <v>487</v>
      </c>
      <c r="N31" s="258">
        <v>40359</v>
      </c>
      <c r="O31" s="258"/>
      <c r="P31" s="95" t="s">
        <v>1859</v>
      </c>
      <c r="Q31" s="256">
        <v>40389</v>
      </c>
      <c r="R31" s="95" t="s">
        <v>1860</v>
      </c>
      <c r="S31" s="257">
        <v>40420</v>
      </c>
      <c r="T31" s="273" t="s">
        <v>487</v>
      </c>
      <c r="U31" s="276">
        <v>40451</v>
      </c>
      <c r="V31" s="276"/>
      <c r="W31" s="273" t="s">
        <v>1861</v>
      </c>
      <c r="X31" s="276">
        <v>40481</v>
      </c>
      <c r="Y31" s="175" t="s">
        <v>476</v>
      </c>
      <c r="Z31" s="276">
        <v>40512</v>
      </c>
      <c r="AA31" s="273" t="s">
        <v>487</v>
      </c>
      <c r="AB31" s="276">
        <v>40542</v>
      </c>
    </row>
    <row r="32" spans="1:31" x14ac:dyDescent="0.25">
      <c r="A32" s="273" t="s">
        <v>1861</v>
      </c>
      <c r="B32" s="256">
        <v>40209</v>
      </c>
      <c r="D32" s="175"/>
      <c r="E32" s="175"/>
      <c r="F32" s="175" t="s">
        <v>487</v>
      </c>
      <c r="G32" s="256">
        <v>40268</v>
      </c>
      <c r="I32" s="276"/>
      <c r="J32" s="273" t="s">
        <v>1860</v>
      </c>
      <c r="K32" s="258">
        <v>40329</v>
      </c>
      <c r="L32" s="278"/>
      <c r="M32" s="273"/>
      <c r="N32" s="276"/>
      <c r="O32" s="276"/>
      <c r="P32" s="95" t="s">
        <v>1861</v>
      </c>
      <c r="Q32" s="256">
        <v>40390</v>
      </c>
      <c r="R32" s="95" t="s">
        <v>476</v>
      </c>
      <c r="S32" s="257">
        <v>40421</v>
      </c>
      <c r="U32" s="276"/>
      <c r="V32" s="276"/>
      <c r="W32" s="273" t="s">
        <v>252</v>
      </c>
      <c r="X32" s="276">
        <v>40482</v>
      </c>
      <c r="Z32" s="175"/>
      <c r="AA32" s="273" t="s">
        <v>1859</v>
      </c>
      <c r="AB32" s="276">
        <v>40543</v>
      </c>
    </row>
    <row r="33" spans="1:29" x14ac:dyDescent="0.25">
      <c r="J33" s="273"/>
    </row>
    <row r="34" spans="1:29" x14ac:dyDescent="0.25">
      <c r="A34" s="259"/>
      <c r="B34" s="260">
        <v>16</v>
      </c>
      <c r="C34" s="259"/>
      <c r="D34" s="260">
        <v>14</v>
      </c>
      <c r="E34" s="260"/>
      <c r="F34" s="259"/>
      <c r="G34" s="260">
        <v>13</v>
      </c>
      <c r="H34" s="259"/>
      <c r="I34" s="260">
        <v>13</v>
      </c>
      <c r="J34" s="259"/>
      <c r="K34" s="260">
        <v>13</v>
      </c>
      <c r="L34" s="260"/>
      <c r="M34" s="259"/>
      <c r="N34" s="260">
        <v>0</v>
      </c>
      <c r="O34" s="260"/>
      <c r="P34" s="259"/>
      <c r="Q34" s="260">
        <v>0</v>
      </c>
      <c r="R34" s="259"/>
      <c r="S34" s="260">
        <v>31</v>
      </c>
      <c r="T34" s="259"/>
      <c r="U34" s="260">
        <v>0</v>
      </c>
      <c r="V34" s="260"/>
      <c r="W34" s="259"/>
      <c r="X34" s="260">
        <v>0</v>
      </c>
      <c r="Y34" s="259"/>
      <c r="Z34" s="260">
        <v>0</v>
      </c>
      <c r="AA34" s="259"/>
      <c r="AB34" s="260">
        <v>0</v>
      </c>
      <c r="AC34" s="259">
        <f>SUM(A34:AB34)</f>
        <v>100</v>
      </c>
    </row>
    <row r="35" spans="1:29" x14ac:dyDescent="0.25">
      <c r="A35" s="261"/>
      <c r="B35" s="260">
        <v>15</v>
      </c>
      <c r="C35" s="261"/>
      <c r="D35" s="260">
        <v>15</v>
      </c>
      <c r="E35" s="260"/>
      <c r="F35" s="261"/>
      <c r="G35" s="260">
        <v>18</v>
      </c>
      <c r="H35" s="261"/>
      <c r="I35" s="260">
        <v>17</v>
      </c>
      <c r="J35" s="261"/>
      <c r="K35" s="260">
        <v>16</v>
      </c>
      <c r="L35" s="260"/>
      <c r="M35" s="261"/>
      <c r="N35" s="260">
        <v>0</v>
      </c>
      <c r="O35" s="260"/>
      <c r="P35" s="261"/>
      <c r="Q35" s="260">
        <v>28</v>
      </c>
      <c r="R35" s="261"/>
      <c r="S35" s="260">
        <v>0</v>
      </c>
      <c r="T35" s="261"/>
      <c r="U35" s="260">
        <v>0</v>
      </c>
      <c r="V35" s="260"/>
      <c r="W35" s="261"/>
      <c r="X35" s="260">
        <v>0</v>
      </c>
      <c r="Y35" s="261"/>
      <c r="Z35" s="260">
        <v>0</v>
      </c>
      <c r="AA35" s="261"/>
      <c r="AB35" s="260">
        <v>0</v>
      </c>
      <c r="AC35" s="261">
        <f>SUM(A35:AB35)</f>
        <v>109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14"/>
  <sheetViews>
    <sheetView zoomScale="110" zoomScaleNormal="110" workbookViewId="0">
      <pane ySplit="1" topLeftCell="A2" activePane="bottomLeft" state="frozen"/>
      <selection activeCell="C7" sqref="C7"/>
      <selection pane="bottomLeft" activeCell="N79" sqref="N2:N79"/>
    </sheetView>
  </sheetViews>
  <sheetFormatPr baseColWidth="10" defaultRowHeight="13.2" x14ac:dyDescent="0.25"/>
  <cols>
    <col min="1" max="1" width="9.44140625" style="41" bestFit="1" customWidth="1"/>
    <col min="2" max="2" width="9.33203125" style="41" bestFit="1" customWidth="1"/>
    <col min="3" max="3" width="8.21875" style="250" bestFit="1" customWidth="1"/>
    <col min="4" max="6" width="11.5546875" style="41"/>
    <col min="7" max="8" width="8.21875" style="41" bestFit="1" customWidth="1"/>
    <col min="9" max="11" width="11.5546875" style="41"/>
    <col min="12" max="12" width="10.21875" style="41" bestFit="1" customWidth="1"/>
    <col min="13" max="13" width="11.5546875" style="59"/>
    <col min="14" max="14" width="11.5546875" style="41"/>
    <col min="15" max="15" width="11.5546875" style="76"/>
    <col min="16" max="16" width="7.77734375" style="41" bestFit="1" customWidth="1"/>
    <col min="17" max="17" width="99.6640625" style="43" customWidth="1"/>
    <col min="18" max="18" width="15.88671875" style="41" customWidth="1"/>
  </cols>
  <sheetData>
    <row r="1" spans="1:18" s="245" customFormat="1" ht="10.199999999999999" x14ac:dyDescent="0.2">
      <c r="A1" s="244" t="s">
        <v>1178</v>
      </c>
      <c r="B1" s="244" t="s">
        <v>1164</v>
      </c>
      <c r="C1" s="249" t="s">
        <v>1165</v>
      </c>
      <c r="D1" s="244" t="s">
        <v>1166</v>
      </c>
      <c r="E1" s="244" t="s">
        <v>1167</v>
      </c>
      <c r="F1" s="244" t="s">
        <v>530</v>
      </c>
      <c r="G1" s="244" t="s">
        <v>1989</v>
      </c>
      <c r="H1" s="244" t="s">
        <v>1180</v>
      </c>
      <c r="I1" s="244" t="s">
        <v>531</v>
      </c>
      <c r="J1" s="244" t="s">
        <v>1829</v>
      </c>
      <c r="K1" s="244" t="s">
        <v>1177</v>
      </c>
      <c r="L1" s="244" t="s">
        <v>1173</v>
      </c>
      <c r="M1" s="246" t="s">
        <v>411</v>
      </c>
      <c r="N1" s="244" t="s">
        <v>1175</v>
      </c>
      <c r="O1" s="247" t="s">
        <v>321</v>
      </c>
      <c r="P1" s="244" t="s">
        <v>1179</v>
      </c>
      <c r="Q1" s="251" t="s">
        <v>383</v>
      </c>
      <c r="R1" s="244" t="s">
        <v>1176</v>
      </c>
    </row>
    <row r="2" spans="1:18" x14ac:dyDescent="0.25">
      <c r="A2" s="41">
        <v>1</v>
      </c>
      <c r="B2" s="41">
        <v>935</v>
      </c>
      <c r="C2" s="250">
        <v>43480</v>
      </c>
      <c r="D2" s="41" t="s">
        <v>1797</v>
      </c>
      <c r="E2" s="41" t="s">
        <v>532</v>
      </c>
      <c r="F2" s="41" t="s">
        <v>2044</v>
      </c>
      <c r="H2" s="41">
        <v>800</v>
      </c>
      <c r="I2" s="41" t="s">
        <v>2045</v>
      </c>
      <c r="J2" s="41" t="s">
        <v>1830</v>
      </c>
      <c r="M2" s="59">
        <v>0.58333333333333337</v>
      </c>
      <c r="N2" s="41">
        <v>15</v>
      </c>
    </row>
    <row r="3" spans="1:18" x14ac:dyDescent="0.25">
      <c r="A3" s="41">
        <v>1</v>
      </c>
      <c r="B3" s="41">
        <v>936</v>
      </c>
      <c r="C3" s="250">
        <v>43505</v>
      </c>
      <c r="D3" s="41" t="s">
        <v>1797</v>
      </c>
      <c r="E3" s="41" t="s">
        <v>2046</v>
      </c>
      <c r="F3" s="41" t="s">
        <v>2047</v>
      </c>
      <c r="G3" s="41" t="s">
        <v>2048</v>
      </c>
      <c r="J3" s="41" t="s">
        <v>1182</v>
      </c>
      <c r="L3" s="41">
        <v>2580</v>
      </c>
      <c r="M3" s="59">
        <v>0.5</v>
      </c>
      <c r="N3" s="41">
        <v>227</v>
      </c>
      <c r="O3" s="76">
        <f>(O2+N3/60)</f>
        <v>3.7833333333333332</v>
      </c>
      <c r="P3" s="41">
        <v>43</v>
      </c>
    </row>
    <row r="4" spans="1:18" x14ac:dyDescent="0.25">
      <c r="A4" s="41">
        <v>1</v>
      </c>
      <c r="B4" s="41">
        <v>937</v>
      </c>
      <c r="C4" s="250">
        <v>43506</v>
      </c>
      <c r="D4" s="41" t="s">
        <v>1797</v>
      </c>
      <c r="E4" s="41" t="s">
        <v>2046</v>
      </c>
      <c r="F4" s="41" t="s">
        <v>2047</v>
      </c>
      <c r="G4" s="41" t="s">
        <v>2048</v>
      </c>
      <c r="J4" s="41" t="s">
        <v>1182</v>
      </c>
      <c r="L4" s="41">
        <v>2800</v>
      </c>
      <c r="M4" s="59">
        <v>0.47222222222222227</v>
      </c>
      <c r="N4" s="41">
        <v>235</v>
      </c>
      <c r="O4" s="76">
        <f t="shared" ref="O4:O67" si="0">(O3+N4/60)</f>
        <v>7.6999999999999993</v>
      </c>
      <c r="P4" s="41">
        <v>65</v>
      </c>
    </row>
    <row r="5" spans="1:18" x14ac:dyDescent="0.25">
      <c r="A5" s="41">
        <v>1</v>
      </c>
      <c r="B5" s="41">
        <v>938</v>
      </c>
      <c r="C5" s="250">
        <v>43507</v>
      </c>
      <c r="D5" s="41" t="s">
        <v>1797</v>
      </c>
      <c r="E5" s="41" t="s">
        <v>2046</v>
      </c>
      <c r="F5" s="41" t="s">
        <v>2047</v>
      </c>
      <c r="G5" s="41" t="s">
        <v>2048</v>
      </c>
      <c r="J5" s="41" t="s">
        <v>1182</v>
      </c>
      <c r="L5" s="41">
        <v>2590</v>
      </c>
      <c r="M5" s="59">
        <v>0.4375</v>
      </c>
      <c r="N5" s="41">
        <v>130</v>
      </c>
      <c r="O5" s="76">
        <f t="shared" si="0"/>
        <v>9.8666666666666654</v>
      </c>
      <c r="P5" s="41">
        <v>39</v>
      </c>
    </row>
    <row r="6" spans="1:18" x14ac:dyDescent="0.25">
      <c r="A6" s="41">
        <v>1</v>
      </c>
      <c r="B6" s="41">
        <v>939</v>
      </c>
      <c r="C6" s="250">
        <v>43508</v>
      </c>
      <c r="D6" s="41" t="s">
        <v>1797</v>
      </c>
      <c r="E6" s="41" t="s">
        <v>2046</v>
      </c>
      <c r="F6" s="41" t="s">
        <v>2047</v>
      </c>
      <c r="G6" s="41" t="s">
        <v>2048</v>
      </c>
      <c r="J6" s="41" t="s">
        <v>1182</v>
      </c>
      <c r="L6" s="41">
        <v>2660</v>
      </c>
      <c r="M6" s="59">
        <v>0.48333333333333334</v>
      </c>
      <c r="N6" s="41">
        <v>225</v>
      </c>
      <c r="O6" s="76">
        <f t="shared" si="0"/>
        <v>13.616666666666665</v>
      </c>
      <c r="P6" s="41">
        <v>47</v>
      </c>
    </row>
    <row r="7" spans="1:18" x14ac:dyDescent="0.25">
      <c r="A7" s="41">
        <v>1</v>
      </c>
      <c r="B7" s="41">
        <v>940</v>
      </c>
      <c r="C7" s="250">
        <v>43509</v>
      </c>
      <c r="D7" s="41" t="s">
        <v>1797</v>
      </c>
      <c r="E7" s="41" t="s">
        <v>2046</v>
      </c>
      <c r="F7" s="41" t="s">
        <v>2047</v>
      </c>
      <c r="G7" s="41" t="s">
        <v>2048</v>
      </c>
      <c r="J7" s="41" t="s">
        <v>1182</v>
      </c>
      <c r="L7" s="41">
        <v>2730</v>
      </c>
      <c r="M7" s="59">
        <v>0.41875000000000001</v>
      </c>
      <c r="N7" s="41">
        <v>285</v>
      </c>
      <c r="O7" s="76">
        <f t="shared" si="0"/>
        <v>18.366666666666667</v>
      </c>
      <c r="P7" s="41">
        <v>64</v>
      </c>
    </row>
    <row r="8" spans="1:18" x14ac:dyDescent="0.25">
      <c r="A8" s="41">
        <v>1</v>
      </c>
      <c r="B8" s="41">
        <v>941</v>
      </c>
      <c r="C8" s="250">
        <v>43545</v>
      </c>
      <c r="D8" s="41" t="s">
        <v>1797</v>
      </c>
      <c r="E8" s="41" t="s">
        <v>532</v>
      </c>
      <c r="F8" s="41" t="s">
        <v>1836</v>
      </c>
      <c r="G8" s="41" t="s">
        <v>2020</v>
      </c>
      <c r="H8" s="41">
        <v>400</v>
      </c>
      <c r="I8" s="41" t="s">
        <v>1650</v>
      </c>
      <c r="J8" s="41" t="s">
        <v>1182</v>
      </c>
      <c r="K8" s="41" t="s">
        <v>2049</v>
      </c>
      <c r="L8" s="41">
        <v>1880</v>
      </c>
      <c r="M8" s="59">
        <v>0.5</v>
      </c>
      <c r="N8" s="41">
        <v>131</v>
      </c>
      <c r="O8" s="76">
        <f t="shared" si="0"/>
        <v>20.55</v>
      </c>
      <c r="P8" s="41">
        <v>25</v>
      </c>
    </row>
    <row r="9" spans="1:18" x14ac:dyDescent="0.25">
      <c r="A9" s="41">
        <v>1</v>
      </c>
      <c r="B9" s="41">
        <v>942</v>
      </c>
      <c r="C9" s="250">
        <v>43546</v>
      </c>
      <c r="D9" s="41" t="s">
        <v>1797</v>
      </c>
      <c r="E9" s="41" t="s">
        <v>532</v>
      </c>
      <c r="F9" s="41" t="s">
        <v>2050</v>
      </c>
      <c r="G9" s="41" t="s">
        <v>2048</v>
      </c>
      <c r="I9" s="41" t="s">
        <v>1650</v>
      </c>
      <c r="J9" s="41" t="s">
        <v>1182</v>
      </c>
      <c r="L9" s="41">
        <v>1680</v>
      </c>
      <c r="M9" s="59">
        <v>0.51250000000000007</v>
      </c>
      <c r="N9" s="41">
        <v>136</v>
      </c>
      <c r="O9" s="76">
        <f t="shared" si="0"/>
        <v>22.816666666666666</v>
      </c>
    </row>
    <row r="10" spans="1:18" x14ac:dyDescent="0.25">
      <c r="A10" s="41">
        <v>1</v>
      </c>
      <c r="B10" s="41">
        <v>943</v>
      </c>
      <c r="C10" s="250">
        <v>43547</v>
      </c>
      <c r="D10" s="41" t="s">
        <v>1797</v>
      </c>
      <c r="E10" s="41" t="s">
        <v>532</v>
      </c>
      <c r="F10" s="41" t="s">
        <v>2050</v>
      </c>
      <c r="G10" s="41" t="s">
        <v>2048</v>
      </c>
      <c r="I10" s="41" t="s">
        <v>2051</v>
      </c>
      <c r="J10" s="41" t="s">
        <v>1182</v>
      </c>
      <c r="K10" s="41" t="s">
        <v>2052</v>
      </c>
      <c r="L10" s="41">
        <v>1960</v>
      </c>
      <c r="M10" s="59">
        <v>0.49791666666666662</v>
      </c>
      <c r="N10" s="41">
        <v>105</v>
      </c>
      <c r="O10" s="76">
        <f t="shared" si="0"/>
        <v>24.566666666666666</v>
      </c>
      <c r="P10" s="41">
        <v>26</v>
      </c>
    </row>
    <row r="11" spans="1:18" ht="51.6" hidden="1" x14ac:dyDescent="0.25">
      <c r="A11" s="41">
        <v>1</v>
      </c>
      <c r="B11" s="41">
        <v>944</v>
      </c>
      <c r="C11" s="250">
        <v>43550</v>
      </c>
      <c r="D11" s="41" t="s">
        <v>1988</v>
      </c>
      <c r="E11" s="41" t="s">
        <v>532</v>
      </c>
      <c r="F11" s="41" t="s">
        <v>2050</v>
      </c>
      <c r="G11" s="41" t="s">
        <v>2048</v>
      </c>
      <c r="I11" s="41" t="s">
        <v>1650</v>
      </c>
      <c r="J11" s="41" t="s">
        <v>1182</v>
      </c>
      <c r="K11" s="41" t="s">
        <v>2052</v>
      </c>
      <c r="L11" s="41">
        <v>1800</v>
      </c>
      <c r="M11" s="59">
        <v>0.4861111111111111</v>
      </c>
      <c r="N11" s="41">
        <v>165</v>
      </c>
      <c r="O11" s="76">
        <f t="shared" si="0"/>
        <v>27.316666666666666</v>
      </c>
      <c r="P11" s="41">
        <v>25</v>
      </c>
      <c r="Q11" s="43" t="s">
        <v>2053</v>
      </c>
      <c r="R11" s="41" t="s">
        <v>239</v>
      </c>
    </row>
    <row r="12" spans="1:18" ht="31.2" hidden="1" x14ac:dyDescent="0.25">
      <c r="A12" s="41">
        <v>1</v>
      </c>
      <c r="B12" s="41">
        <v>945</v>
      </c>
      <c r="C12" s="250">
        <v>43551</v>
      </c>
      <c r="D12" s="41" t="s">
        <v>1988</v>
      </c>
      <c r="E12" s="41" t="s">
        <v>532</v>
      </c>
      <c r="F12" s="41" t="s">
        <v>2050</v>
      </c>
      <c r="G12" s="41" t="s">
        <v>2048</v>
      </c>
      <c r="I12" s="41" t="s">
        <v>2054</v>
      </c>
      <c r="L12" s="41">
        <v>1800</v>
      </c>
      <c r="M12" s="59">
        <v>0.50208333333333333</v>
      </c>
      <c r="N12" s="41">
        <v>78</v>
      </c>
      <c r="O12" s="76">
        <f t="shared" si="0"/>
        <v>28.616666666666667</v>
      </c>
      <c r="Q12" s="43" t="s">
        <v>2056</v>
      </c>
    </row>
    <row r="13" spans="1:18" ht="41.4" x14ac:dyDescent="0.25">
      <c r="A13" s="41">
        <v>1</v>
      </c>
      <c r="B13" s="41">
        <v>946</v>
      </c>
      <c r="C13" s="250">
        <v>43552</v>
      </c>
      <c r="D13" s="41" t="s">
        <v>1797</v>
      </c>
      <c r="E13" s="41" t="s">
        <v>532</v>
      </c>
      <c r="F13" s="41" t="s">
        <v>1836</v>
      </c>
      <c r="G13" s="41" t="s">
        <v>2020</v>
      </c>
      <c r="H13" s="41">
        <v>1100</v>
      </c>
      <c r="I13" s="41" t="s">
        <v>1650</v>
      </c>
      <c r="J13" s="41" t="s">
        <v>1182</v>
      </c>
      <c r="K13" s="41" t="s">
        <v>1492</v>
      </c>
      <c r="L13" s="41">
        <v>1850</v>
      </c>
      <c r="M13" s="59">
        <v>0.52083333333333337</v>
      </c>
      <c r="N13" s="41">
        <v>145</v>
      </c>
      <c r="O13" s="76">
        <f t="shared" si="0"/>
        <v>31.033333333333335</v>
      </c>
      <c r="Q13" s="43" t="s">
        <v>2057</v>
      </c>
    </row>
    <row r="14" spans="1:18" hidden="1" x14ac:dyDescent="0.25">
      <c r="A14" s="41">
        <v>1</v>
      </c>
      <c r="B14" s="41">
        <v>947</v>
      </c>
      <c r="C14" s="250">
        <v>43554</v>
      </c>
      <c r="D14" s="41" t="s">
        <v>1924</v>
      </c>
      <c r="E14" s="41" t="s">
        <v>532</v>
      </c>
      <c r="F14" s="41" t="s">
        <v>2050</v>
      </c>
      <c r="G14" s="41" t="s">
        <v>2048</v>
      </c>
      <c r="I14" s="41" t="s">
        <v>1650</v>
      </c>
      <c r="M14" s="59">
        <v>0.47916666666666669</v>
      </c>
      <c r="N14" s="41">
        <v>10</v>
      </c>
      <c r="O14" s="76">
        <f t="shared" si="0"/>
        <v>31.200000000000003</v>
      </c>
      <c r="Q14" s="43" t="s">
        <v>2058</v>
      </c>
    </row>
    <row r="15" spans="1:18" hidden="1" x14ac:dyDescent="0.25">
      <c r="A15" s="41">
        <v>1</v>
      </c>
      <c r="B15" s="41">
        <v>948</v>
      </c>
      <c r="C15" s="250">
        <v>43554</v>
      </c>
      <c r="D15" s="41" t="s">
        <v>1924</v>
      </c>
      <c r="E15" s="41" t="s">
        <v>532</v>
      </c>
      <c r="F15" s="41" t="s">
        <v>2050</v>
      </c>
      <c r="G15" s="41" t="s">
        <v>2048</v>
      </c>
      <c r="I15" s="41" t="s">
        <v>1650</v>
      </c>
      <c r="M15" s="59">
        <v>0.52083333333333337</v>
      </c>
      <c r="N15" s="41">
        <v>10</v>
      </c>
      <c r="O15" s="76">
        <f t="shared" si="0"/>
        <v>31.366666666666671</v>
      </c>
      <c r="Q15" s="43" t="s">
        <v>2059</v>
      </c>
    </row>
    <row r="16" spans="1:18" ht="21" hidden="1" x14ac:dyDescent="0.25">
      <c r="A16" s="41">
        <v>1</v>
      </c>
      <c r="B16" s="41">
        <v>949</v>
      </c>
      <c r="C16" s="250">
        <v>43554</v>
      </c>
      <c r="D16" s="41" t="s">
        <v>1924</v>
      </c>
      <c r="E16" s="41" t="s">
        <v>532</v>
      </c>
      <c r="F16" s="41" t="s">
        <v>2050</v>
      </c>
      <c r="G16" s="41" t="s">
        <v>2048</v>
      </c>
      <c r="I16" s="41" t="s">
        <v>1650</v>
      </c>
      <c r="M16" s="59">
        <v>0.5625</v>
      </c>
      <c r="N16" s="41">
        <v>65</v>
      </c>
      <c r="O16" s="76">
        <f t="shared" si="0"/>
        <v>32.450000000000003</v>
      </c>
      <c r="Q16" s="43" t="s">
        <v>2060</v>
      </c>
    </row>
    <row r="17" spans="1:17" ht="41.4" x14ac:dyDescent="0.25">
      <c r="A17" s="41">
        <v>1</v>
      </c>
      <c r="B17" s="41">
        <v>950</v>
      </c>
      <c r="C17" s="250">
        <v>43575</v>
      </c>
      <c r="D17" s="41" t="s">
        <v>1797</v>
      </c>
      <c r="E17" s="41" t="s">
        <v>2061</v>
      </c>
      <c r="F17" s="41" t="s">
        <v>2062</v>
      </c>
      <c r="G17" s="41" t="s">
        <v>2063</v>
      </c>
      <c r="I17" s="41" t="s">
        <v>2065</v>
      </c>
      <c r="J17" s="41" t="s">
        <v>1182</v>
      </c>
      <c r="K17" s="41" t="s">
        <v>2064</v>
      </c>
      <c r="L17" s="41">
        <v>2950</v>
      </c>
      <c r="M17" s="59">
        <v>0.46180555555555558</v>
      </c>
      <c r="N17" s="41">
        <v>160</v>
      </c>
      <c r="O17" s="76">
        <f t="shared" si="0"/>
        <v>35.116666666666667</v>
      </c>
      <c r="P17" s="41">
        <v>65</v>
      </c>
      <c r="Q17" s="43" t="s">
        <v>2066</v>
      </c>
    </row>
    <row r="18" spans="1:17" ht="61.8" hidden="1" x14ac:dyDescent="0.25">
      <c r="A18" s="41">
        <v>1</v>
      </c>
      <c r="B18" s="41">
        <v>951</v>
      </c>
      <c r="C18" s="250">
        <v>43577</v>
      </c>
      <c r="D18" s="41" t="s">
        <v>1988</v>
      </c>
      <c r="E18" s="41" t="s">
        <v>2061</v>
      </c>
      <c r="F18" s="41" t="s">
        <v>671</v>
      </c>
      <c r="G18" s="41" t="s">
        <v>2063</v>
      </c>
      <c r="H18" s="41">
        <v>700</v>
      </c>
      <c r="J18" s="41" t="s">
        <v>1182</v>
      </c>
      <c r="K18" s="41" t="s">
        <v>2067</v>
      </c>
      <c r="N18" s="41">
        <v>60</v>
      </c>
      <c r="O18" s="76">
        <f t="shared" si="0"/>
        <v>36.116666666666667</v>
      </c>
      <c r="Q18" s="43" t="s">
        <v>2316</v>
      </c>
    </row>
    <row r="19" spans="1:17" x14ac:dyDescent="0.25">
      <c r="A19" s="41">
        <v>1</v>
      </c>
      <c r="B19" s="41">
        <v>952</v>
      </c>
      <c r="C19" s="250">
        <v>43586</v>
      </c>
      <c r="D19" s="41" t="s">
        <v>1797</v>
      </c>
      <c r="E19" s="41" t="s">
        <v>2061</v>
      </c>
      <c r="F19" s="41" t="s">
        <v>2068</v>
      </c>
      <c r="G19" s="41" t="s">
        <v>2020</v>
      </c>
      <c r="H19" s="41">
        <v>400</v>
      </c>
      <c r="I19" s="41" t="s">
        <v>1963</v>
      </c>
      <c r="N19" s="41">
        <v>20</v>
      </c>
      <c r="O19" s="76">
        <f t="shared" si="0"/>
        <v>36.450000000000003</v>
      </c>
    </row>
    <row r="20" spans="1:17" ht="21" x14ac:dyDescent="0.25">
      <c r="A20" s="41">
        <v>1</v>
      </c>
      <c r="B20" s="41">
        <v>953</v>
      </c>
      <c r="C20" s="250">
        <v>43601</v>
      </c>
      <c r="D20" s="41" t="s">
        <v>1797</v>
      </c>
      <c r="E20" s="41" t="s">
        <v>532</v>
      </c>
      <c r="F20" s="41" t="s">
        <v>1836</v>
      </c>
      <c r="G20" s="41" t="s">
        <v>2020</v>
      </c>
      <c r="H20" s="41">
        <v>1100</v>
      </c>
      <c r="I20" s="41" t="s">
        <v>1650</v>
      </c>
      <c r="J20" s="41" t="s">
        <v>1877</v>
      </c>
      <c r="L20" s="41">
        <v>160</v>
      </c>
      <c r="M20" s="59">
        <v>0.52083333333333337</v>
      </c>
      <c r="N20" s="41">
        <v>40</v>
      </c>
      <c r="O20" s="76">
        <f t="shared" si="0"/>
        <v>37.116666666666667</v>
      </c>
      <c r="Q20" s="43" t="s">
        <v>2069</v>
      </c>
    </row>
    <row r="21" spans="1:17" x14ac:dyDescent="0.25">
      <c r="A21" s="41">
        <v>1</v>
      </c>
      <c r="B21" s="41">
        <v>954</v>
      </c>
      <c r="C21" s="250">
        <v>43607</v>
      </c>
      <c r="D21" s="41" t="s">
        <v>1797</v>
      </c>
      <c r="E21" s="41" t="s">
        <v>532</v>
      </c>
      <c r="F21" s="41" t="s">
        <v>2050</v>
      </c>
      <c r="G21" s="41" t="s">
        <v>2020</v>
      </c>
      <c r="H21" s="41">
        <v>700</v>
      </c>
      <c r="I21" s="41" t="s">
        <v>1650</v>
      </c>
      <c r="J21" s="41" t="s">
        <v>1877</v>
      </c>
      <c r="L21" s="41">
        <v>1640</v>
      </c>
      <c r="M21" s="59">
        <v>0.47222222222222227</v>
      </c>
      <c r="N21" s="41">
        <v>109</v>
      </c>
      <c r="O21" s="76">
        <f t="shared" si="0"/>
        <v>38.933333333333337</v>
      </c>
      <c r="Q21" s="43" t="s">
        <v>2072</v>
      </c>
    </row>
    <row r="22" spans="1:17" x14ac:dyDescent="0.25">
      <c r="A22" s="41">
        <v>1</v>
      </c>
      <c r="B22" s="41">
        <v>955</v>
      </c>
      <c r="C22" s="250">
        <v>43622</v>
      </c>
      <c r="D22" s="41" t="s">
        <v>1797</v>
      </c>
      <c r="E22" s="41" t="s">
        <v>532</v>
      </c>
      <c r="F22" s="41" t="s">
        <v>2050</v>
      </c>
      <c r="G22" s="41" t="s">
        <v>2020</v>
      </c>
      <c r="H22" s="41">
        <v>700</v>
      </c>
      <c r="I22" s="41" t="s">
        <v>1650</v>
      </c>
      <c r="J22" s="41" t="s">
        <v>1877</v>
      </c>
      <c r="K22" s="41" t="s">
        <v>2070</v>
      </c>
      <c r="M22" s="59">
        <v>0.5</v>
      </c>
      <c r="N22" s="41">
        <v>70</v>
      </c>
      <c r="O22" s="76">
        <f t="shared" si="0"/>
        <v>40.1</v>
      </c>
      <c r="Q22" s="43" t="s">
        <v>2071</v>
      </c>
    </row>
    <row r="23" spans="1:17" ht="21" x14ac:dyDescent="0.25">
      <c r="A23" s="41">
        <v>1</v>
      </c>
      <c r="B23" s="41">
        <v>956</v>
      </c>
      <c r="C23" s="250">
        <v>43628</v>
      </c>
      <c r="D23" s="41" t="s">
        <v>1797</v>
      </c>
      <c r="E23" s="41" t="s">
        <v>532</v>
      </c>
      <c r="F23" s="41" t="s">
        <v>2050</v>
      </c>
      <c r="G23" s="41" t="s">
        <v>2020</v>
      </c>
      <c r="H23" s="41">
        <v>700</v>
      </c>
      <c r="I23" s="41" t="s">
        <v>1650</v>
      </c>
      <c r="J23" s="41" t="s">
        <v>1877</v>
      </c>
      <c r="K23" s="41" t="s">
        <v>33</v>
      </c>
      <c r="L23" s="41">
        <v>1800</v>
      </c>
      <c r="M23" s="59">
        <v>0.4861111111111111</v>
      </c>
      <c r="N23" s="41">
        <v>140</v>
      </c>
      <c r="O23" s="76">
        <f t="shared" si="0"/>
        <v>42.433333333333337</v>
      </c>
      <c r="Q23" s="43" t="s">
        <v>2073</v>
      </c>
    </row>
    <row r="24" spans="1:17" hidden="1" x14ac:dyDescent="0.25">
      <c r="A24" s="41">
        <v>1</v>
      </c>
      <c r="B24" s="41">
        <v>957</v>
      </c>
      <c r="C24" s="250">
        <v>43638</v>
      </c>
      <c r="D24" s="41" t="s">
        <v>1924</v>
      </c>
      <c r="E24" s="41" t="s">
        <v>532</v>
      </c>
      <c r="F24" s="41" t="s">
        <v>2050</v>
      </c>
      <c r="I24" s="41" t="s">
        <v>1650</v>
      </c>
      <c r="J24" s="41" t="s">
        <v>1877</v>
      </c>
      <c r="N24" s="41">
        <v>15</v>
      </c>
      <c r="O24" s="76">
        <f t="shared" si="0"/>
        <v>42.683333333333337</v>
      </c>
      <c r="Q24" s="43" t="s">
        <v>2074</v>
      </c>
    </row>
    <row r="25" spans="1:17" hidden="1" x14ac:dyDescent="0.25">
      <c r="A25" s="41">
        <v>1</v>
      </c>
      <c r="B25" s="41">
        <v>958</v>
      </c>
      <c r="C25" s="250">
        <v>43638</v>
      </c>
      <c r="D25" s="41" t="s">
        <v>1924</v>
      </c>
      <c r="E25" s="41" t="s">
        <v>532</v>
      </c>
      <c r="F25" s="41" t="s">
        <v>2050</v>
      </c>
      <c r="I25" s="41" t="s">
        <v>1650</v>
      </c>
      <c r="J25" s="41" t="s">
        <v>1877</v>
      </c>
      <c r="N25" s="41">
        <v>15</v>
      </c>
      <c r="O25" s="76">
        <f t="shared" si="0"/>
        <v>42.933333333333337</v>
      </c>
      <c r="Q25" s="43" t="s">
        <v>2075</v>
      </c>
    </row>
    <row r="26" spans="1:17" hidden="1" x14ac:dyDescent="0.25">
      <c r="A26" s="41">
        <v>1</v>
      </c>
      <c r="B26" s="41">
        <v>959</v>
      </c>
      <c r="C26" s="250">
        <v>43638</v>
      </c>
      <c r="D26" s="41" t="s">
        <v>1924</v>
      </c>
      <c r="E26" s="41" t="s">
        <v>532</v>
      </c>
      <c r="F26" s="41" t="s">
        <v>2050</v>
      </c>
      <c r="I26" s="41" t="s">
        <v>1650</v>
      </c>
      <c r="J26" s="41" t="s">
        <v>1877</v>
      </c>
      <c r="N26" s="41">
        <v>10</v>
      </c>
      <c r="O26" s="76">
        <f t="shared" si="0"/>
        <v>43.1</v>
      </c>
      <c r="Q26" s="43" t="s">
        <v>2076</v>
      </c>
    </row>
    <row r="27" spans="1:17" hidden="1" x14ac:dyDescent="0.25">
      <c r="A27" s="41">
        <v>1</v>
      </c>
      <c r="B27" s="41">
        <v>960</v>
      </c>
      <c r="C27" s="250">
        <v>43638</v>
      </c>
      <c r="D27" s="41" t="s">
        <v>1924</v>
      </c>
      <c r="E27" s="41" t="s">
        <v>532</v>
      </c>
      <c r="F27" s="41" t="s">
        <v>2050</v>
      </c>
      <c r="I27" s="41" t="s">
        <v>1650</v>
      </c>
      <c r="J27" s="41" t="s">
        <v>1877</v>
      </c>
      <c r="N27" s="41">
        <v>10</v>
      </c>
      <c r="O27" s="76">
        <f t="shared" si="0"/>
        <v>43.266666666666666</v>
      </c>
      <c r="Q27" s="43" t="s">
        <v>2076</v>
      </c>
    </row>
    <row r="28" spans="1:17" hidden="1" x14ac:dyDescent="0.25">
      <c r="A28" s="41">
        <v>1</v>
      </c>
      <c r="B28" s="41">
        <v>961</v>
      </c>
      <c r="C28" s="250">
        <v>43639</v>
      </c>
      <c r="D28" s="41" t="s">
        <v>1924</v>
      </c>
      <c r="E28" s="41" t="s">
        <v>532</v>
      </c>
      <c r="F28" s="41" t="s">
        <v>2050</v>
      </c>
      <c r="I28" s="41" t="s">
        <v>1650</v>
      </c>
      <c r="J28" s="41" t="s">
        <v>1877</v>
      </c>
      <c r="N28" s="41">
        <v>10</v>
      </c>
      <c r="O28" s="76">
        <f t="shared" si="0"/>
        <v>43.43333333333333</v>
      </c>
      <c r="Q28" s="43" t="s">
        <v>2074</v>
      </c>
    </row>
    <row r="29" spans="1:17" x14ac:dyDescent="0.25">
      <c r="A29" s="41">
        <v>1</v>
      </c>
      <c r="B29" s="41">
        <v>962</v>
      </c>
      <c r="C29" s="250">
        <v>43644</v>
      </c>
      <c r="D29" s="41" t="s">
        <v>1797</v>
      </c>
      <c r="E29" s="41" t="s">
        <v>532</v>
      </c>
      <c r="F29" s="41" t="s">
        <v>2077</v>
      </c>
      <c r="G29" s="41" t="s">
        <v>2020</v>
      </c>
      <c r="H29" s="41">
        <v>800</v>
      </c>
      <c r="I29" s="41" t="s">
        <v>1650</v>
      </c>
      <c r="J29" s="41" t="s">
        <v>1877</v>
      </c>
      <c r="M29" s="59">
        <v>0.66666666666666663</v>
      </c>
      <c r="N29" s="41">
        <v>82</v>
      </c>
      <c r="O29" s="76">
        <f t="shared" si="0"/>
        <v>44.8</v>
      </c>
      <c r="Q29" s="43" t="s">
        <v>2079</v>
      </c>
    </row>
    <row r="30" spans="1:17" hidden="1" x14ac:dyDescent="0.25">
      <c r="A30" s="41">
        <v>1</v>
      </c>
      <c r="B30" s="41">
        <v>963</v>
      </c>
      <c r="C30" s="250">
        <v>43645</v>
      </c>
      <c r="D30" s="41" t="s">
        <v>1924</v>
      </c>
      <c r="E30" s="41" t="s">
        <v>532</v>
      </c>
      <c r="F30" s="41" t="s">
        <v>2050</v>
      </c>
      <c r="I30" s="41" t="s">
        <v>1650</v>
      </c>
      <c r="J30" s="41" t="s">
        <v>1877</v>
      </c>
      <c r="N30" s="41">
        <v>10</v>
      </c>
      <c r="O30" s="76">
        <f t="shared" si="0"/>
        <v>44.966666666666661</v>
      </c>
      <c r="Q30" s="43" t="s">
        <v>15</v>
      </c>
    </row>
    <row r="31" spans="1:17" hidden="1" x14ac:dyDescent="0.25">
      <c r="A31" s="41">
        <v>1</v>
      </c>
      <c r="B31" s="41">
        <v>964</v>
      </c>
      <c r="C31" s="250">
        <v>43645</v>
      </c>
      <c r="D31" s="41" t="s">
        <v>1924</v>
      </c>
      <c r="E31" s="41" t="s">
        <v>532</v>
      </c>
      <c r="F31" s="41" t="s">
        <v>2050</v>
      </c>
      <c r="I31" s="41" t="s">
        <v>1650</v>
      </c>
      <c r="J31" s="41" t="s">
        <v>1877</v>
      </c>
      <c r="N31" s="41">
        <v>12</v>
      </c>
      <c r="O31" s="76">
        <f t="shared" si="0"/>
        <v>45.166666666666664</v>
      </c>
      <c r="Q31" s="43" t="s">
        <v>15</v>
      </c>
    </row>
    <row r="32" spans="1:17" x14ac:dyDescent="0.25">
      <c r="A32" s="41">
        <v>1</v>
      </c>
      <c r="B32" s="41">
        <v>965</v>
      </c>
      <c r="C32" s="250">
        <v>43646</v>
      </c>
      <c r="D32" s="41" t="s">
        <v>1797</v>
      </c>
      <c r="E32" s="41" t="s">
        <v>532</v>
      </c>
      <c r="F32" s="41" t="s">
        <v>2050</v>
      </c>
      <c r="G32" s="41" t="s">
        <v>2020</v>
      </c>
      <c r="H32" s="41">
        <v>1100</v>
      </c>
      <c r="I32" s="41" t="s">
        <v>1650</v>
      </c>
      <c r="J32" s="41" t="s">
        <v>1877</v>
      </c>
      <c r="M32" s="59">
        <v>0.75</v>
      </c>
      <c r="N32" s="41">
        <v>10</v>
      </c>
      <c r="O32" s="76">
        <f t="shared" si="0"/>
        <v>45.333333333333329</v>
      </c>
      <c r="Q32" s="43" t="s">
        <v>2078</v>
      </c>
    </row>
    <row r="33" spans="1:17" hidden="1" x14ac:dyDescent="0.25">
      <c r="A33" s="41">
        <v>1</v>
      </c>
      <c r="B33" s="41">
        <v>966</v>
      </c>
      <c r="C33" s="250">
        <v>43650</v>
      </c>
      <c r="D33" s="41" t="s">
        <v>1924</v>
      </c>
      <c r="E33" s="41" t="s">
        <v>532</v>
      </c>
      <c r="F33" s="41" t="s">
        <v>2050</v>
      </c>
      <c r="I33" s="41" t="s">
        <v>1650</v>
      </c>
      <c r="J33" s="41" t="s">
        <v>1877</v>
      </c>
      <c r="N33" s="41">
        <v>13</v>
      </c>
      <c r="O33" s="76">
        <f t="shared" si="0"/>
        <v>45.55</v>
      </c>
      <c r="Q33" s="43" t="s">
        <v>2080</v>
      </c>
    </row>
    <row r="34" spans="1:17" hidden="1" x14ac:dyDescent="0.25">
      <c r="A34" s="41">
        <v>1</v>
      </c>
      <c r="B34" s="41">
        <v>967</v>
      </c>
      <c r="C34" s="250">
        <v>43652</v>
      </c>
      <c r="D34" s="41" t="s">
        <v>1924</v>
      </c>
      <c r="E34" s="41" t="s">
        <v>532</v>
      </c>
      <c r="F34" s="41" t="s">
        <v>2050</v>
      </c>
      <c r="I34" s="41" t="s">
        <v>1650</v>
      </c>
      <c r="J34" s="41" t="s">
        <v>1877</v>
      </c>
      <c r="N34" s="41">
        <v>23</v>
      </c>
      <c r="O34" s="76">
        <f t="shared" si="0"/>
        <v>45.93333333333333</v>
      </c>
      <c r="Q34" s="43" t="s">
        <v>2085</v>
      </c>
    </row>
    <row r="35" spans="1:17" hidden="1" x14ac:dyDescent="0.25">
      <c r="A35" s="41">
        <v>1</v>
      </c>
      <c r="B35" s="41">
        <v>968</v>
      </c>
      <c r="C35" s="250">
        <v>43653</v>
      </c>
      <c r="D35" s="41" t="s">
        <v>1924</v>
      </c>
      <c r="E35" s="41" t="s">
        <v>532</v>
      </c>
      <c r="F35" s="41" t="s">
        <v>2050</v>
      </c>
      <c r="I35" s="41" t="s">
        <v>1650</v>
      </c>
      <c r="J35" s="41" t="s">
        <v>1877</v>
      </c>
      <c r="N35" s="41">
        <v>8</v>
      </c>
      <c r="O35" s="76">
        <f t="shared" si="0"/>
        <v>46.066666666666663</v>
      </c>
      <c r="Q35" s="43" t="s">
        <v>2085</v>
      </c>
    </row>
    <row r="36" spans="1:17" hidden="1" x14ac:dyDescent="0.25">
      <c r="C36" s="250">
        <v>43653</v>
      </c>
      <c r="D36" s="41" t="s">
        <v>1924</v>
      </c>
      <c r="E36" s="41" t="s">
        <v>532</v>
      </c>
      <c r="F36" s="41" t="s">
        <v>2077</v>
      </c>
      <c r="I36" s="41" t="s">
        <v>1650</v>
      </c>
      <c r="J36" s="41" t="s">
        <v>1877</v>
      </c>
      <c r="N36" s="41">
        <v>10</v>
      </c>
      <c r="O36" s="76">
        <f t="shared" si="0"/>
        <v>46.233333333333327</v>
      </c>
    </row>
    <row r="37" spans="1:17" x14ac:dyDescent="0.25">
      <c r="A37" s="41">
        <v>1</v>
      </c>
      <c r="B37" s="41">
        <v>969</v>
      </c>
      <c r="C37" s="250">
        <v>43656</v>
      </c>
      <c r="D37" s="41" t="s">
        <v>1797</v>
      </c>
      <c r="E37" s="41" t="s">
        <v>532</v>
      </c>
      <c r="I37" s="41" t="s">
        <v>1650</v>
      </c>
      <c r="J37" s="41" t="s">
        <v>1877</v>
      </c>
      <c r="N37" s="41">
        <v>21</v>
      </c>
      <c r="O37" s="76">
        <f t="shared" si="0"/>
        <v>46.583333333333329</v>
      </c>
    </row>
    <row r="38" spans="1:17" x14ac:dyDescent="0.25">
      <c r="A38" s="41">
        <v>1</v>
      </c>
      <c r="B38" s="41">
        <v>970</v>
      </c>
      <c r="C38" s="250">
        <v>43657</v>
      </c>
      <c r="D38" s="41" t="s">
        <v>1797</v>
      </c>
      <c r="E38" s="41" t="s">
        <v>532</v>
      </c>
      <c r="I38" s="41" t="s">
        <v>1650</v>
      </c>
      <c r="J38" s="41" t="s">
        <v>1877</v>
      </c>
      <c r="N38" s="41">
        <v>23</v>
      </c>
      <c r="O38" s="76">
        <f t="shared" si="0"/>
        <v>46.966666666666661</v>
      </c>
    </row>
    <row r="39" spans="1:17" ht="21" x14ac:dyDescent="0.25">
      <c r="A39" s="41">
        <v>1</v>
      </c>
      <c r="B39" s="41">
        <v>971</v>
      </c>
      <c r="C39" s="250">
        <v>43657</v>
      </c>
      <c r="D39" s="41" t="s">
        <v>1797</v>
      </c>
      <c r="E39" s="41" t="s">
        <v>532</v>
      </c>
      <c r="I39" s="41" t="s">
        <v>1650</v>
      </c>
      <c r="J39" s="41" t="s">
        <v>1877</v>
      </c>
      <c r="M39" s="59">
        <v>0.80555555555555547</v>
      </c>
      <c r="N39" s="41">
        <v>80</v>
      </c>
      <c r="O39" s="76">
        <f t="shared" si="0"/>
        <v>48.3</v>
      </c>
      <c r="Q39" s="43" t="s">
        <v>2086</v>
      </c>
    </row>
    <row r="40" spans="1:17" x14ac:dyDescent="0.25">
      <c r="A40" s="41">
        <v>1</v>
      </c>
      <c r="B40" s="41">
        <v>972</v>
      </c>
      <c r="C40" s="250">
        <v>43658</v>
      </c>
      <c r="D40" s="41" t="s">
        <v>1797</v>
      </c>
      <c r="E40" s="41" t="s">
        <v>532</v>
      </c>
      <c r="I40" s="41" t="s">
        <v>1650</v>
      </c>
      <c r="J40" s="41" t="s">
        <v>1877</v>
      </c>
      <c r="N40" s="41">
        <v>12</v>
      </c>
      <c r="O40" s="76">
        <f t="shared" si="0"/>
        <v>48.5</v>
      </c>
    </row>
    <row r="41" spans="1:17" x14ac:dyDescent="0.25">
      <c r="A41" s="41">
        <v>1</v>
      </c>
      <c r="B41" s="41">
        <v>973</v>
      </c>
      <c r="C41" s="250">
        <v>43659</v>
      </c>
      <c r="D41" s="41" t="s">
        <v>1797</v>
      </c>
      <c r="E41" s="41" t="s">
        <v>532</v>
      </c>
      <c r="F41" s="41" t="s">
        <v>1836</v>
      </c>
      <c r="G41" s="41" t="s">
        <v>2020</v>
      </c>
      <c r="H41" s="41">
        <v>1100</v>
      </c>
      <c r="I41" s="41" t="s">
        <v>1650</v>
      </c>
      <c r="J41" s="41" t="s">
        <v>1877</v>
      </c>
      <c r="N41" s="41">
        <v>15</v>
      </c>
      <c r="O41" s="76">
        <f t="shared" si="0"/>
        <v>48.75</v>
      </c>
      <c r="Q41" s="43" t="s">
        <v>2084</v>
      </c>
    </row>
    <row r="42" spans="1:17" hidden="1" x14ac:dyDescent="0.25">
      <c r="A42" s="41">
        <v>1</v>
      </c>
      <c r="B42" s="41">
        <v>974</v>
      </c>
      <c r="C42" s="250">
        <v>43659</v>
      </c>
      <c r="D42" s="41" t="s">
        <v>2081</v>
      </c>
      <c r="E42" s="41" t="s">
        <v>532</v>
      </c>
      <c r="F42" s="41" t="s">
        <v>2050</v>
      </c>
      <c r="I42" s="41" t="s">
        <v>1650</v>
      </c>
      <c r="J42" s="41" t="s">
        <v>1877</v>
      </c>
      <c r="N42" s="41">
        <v>40</v>
      </c>
      <c r="O42" s="76">
        <f t="shared" si="0"/>
        <v>49.416666666666664</v>
      </c>
      <c r="Q42" s="43" t="s">
        <v>2082</v>
      </c>
    </row>
    <row r="43" spans="1:17" ht="31.2" hidden="1" x14ac:dyDescent="0.25">
      <c r="A43" s="41">
        <v>1</v>
      </c>
      <c r="B43" s="41">
        <v>975</v>
      </c>
      <c r="C43" s="250">
        <v>43659</v>
      </c>
      <c r="D43" s="41" t="s">
        <v>1924</v>
      </c>
      <c r="E43" s="41" t="s">
        <v>532</v>
      </c>
      <c r="F43" s="41" t="s">
        <v>2050</v>
      </c>
      <c r="I43" s="41" t="s">
        <v>1650</v>
      </c>
      <c r="J43" s="41" t="s">
        <v>1877</v>
      </c>
      <c r="N43" s="41">
        <v>90</v>
      </c>
      <c r="O43" s="76">
        <f t="shared" si="0"/>
        <v>50.916666666666664</v>
      </c>
      <c r="Q43" s="43" t="s">
        <v>2083</v>
      </c>
    </row>
    <row r="44" spans="1:17" x14ac:dyDescent="0.25">
      <c r="A44" s="41">
        <v>1</v>
      </c>
      <c r="B44" s="41">
        <v>976</v>
      </c>
      <c r="C44" s="250">
        <v>43661</v>
      </c>
      <c r="D44" s="41" t="s">
        <v>1797</v>
      </c>
      <c r="E44" s="41" t="s">
        <v>532</v>
      </c>
      <c r="F44" s="41" t="s">
        <v>2077</v>
      </c>
      <c r="G44" s="41" t="s">
        <v>2020</v>
      </c>
      <c r="H44" s="41">
        <v>800</v>
      </c>
      <c r="I44" s="41" t="s">
        <v>1650</v>
      </c>
      <c r="J44" s="41" t="s">
        <v>1877</v>
      </c>
      <c r="M44" s="59">
        <v>0.80208333333333337</v>
      </c>
      <c r="N44" s="41">
        <v>49</v>
      </c>
      <c r="O44" s="76">
        <f t="shared" si="0"/>
        <v>51.733333333333334</v>
      </c>
    </row>
    <row r="45" spans="1:17" x14ac:dyDescent="0.25">
      <c r="A45" s="41">
        <v>1</v>
      </c>
      <c r="B45" s="41">
        <v>977</v>
      </c>
      <c r="C45" s="250">
        <v>43662</v>
      </c>
      <c r="D45" s="41" t="s">
        <v>1797</v>
      </c>
      <c r="E45" s="41" t="s">
        <v>532</v>
      </c>
      <c r="F45" s="41" t="s">
        <v>2050</v>
      </c>
      <c r="G45" s="41" t="s">
        <v>2020</v>
      </c>
      <c r="H45" s="41">
        <v>700</v>
      </c>
      <c r="I45" s="41" t="s">
        <v>1650</v>
      </c>
      <c r="J45" s="41" t="s">
        <v>1182</v>
      </c>
      <c r="L45" s="41">
        <v>2000</v>
      </c>
      <c r="M45" s="59">
        <v>0.52777777777777779</v>
      </c>
      <c r="N45" s="41">
        <v>220</v>
      </c>
      <c r="O45" s="76">
        <f t="shared" si="0"/>
        <v>55.4</v>
      </c>
      <c r="P45" s="41">
        <v>52</v>
      </c>
      <c r="Q45" s="43" t="s">
        <v>2087</v>
      </c>
    </row>
    <row r="46" spans="1:17" x14ac:dyDescent="0.25">
      <c r="A46" s="41">
        <v>1</v>
      </c>
      <c r="B46" s="41">
        <v>978</v>
      </c>
      <c r="C46" s="250">
        <v>43663</v>
      </c>
      <c r="D46" s="41" t="s">
        <v>1797</v>
      </c>
      <c r="E46" s="41" t="s">
        <v>532</v>
      </c>
      <c r="F46" s="41" t="s">
        <v>2050</v>
      </c>
      <c r="G46" s="41" t="s">
        <v>2020</v>
      </c>
      <c r="H46" s="41">
        <v>700</v>
      </c>
      <c r="I46" s="41" t="s">
        <v>1650</v>
      </c>
      <c r="J46" s="41" t="s">
        <v>1877</v>
      </c>
      <c r="N46" s="41">
        <v>12</v>
      </c>
      <c r="O46" s="76">
        <f t="shared" si="0"/>
        <v>55.6</v>
      </c>
    </row>
    <row r="47" spans="1:17" x14ac:dyDescent="0.25">
      <c r="A47" s="41">
        <v>1</v>
      </c>
      <c r="B47" s="41">
        <v>979</v>
      </c>
      <c r="C47" s="250">
        <v>43664</v>
      </c>
      <c r="D47" s="41" t="s">
        <v>1797</v>
      </c>
      <c r="E47" s="41" t="s">
        <v>532</v>
      </c>
      <c r="F47" s="41" t="s">
        <v>1836</v>
      </c>
      <c r="G47" s="41" t="s">
        <v>2020</v>
      </c>
      <c r="H47" s="41">
        <v>1100</v>
      </c>
      <c r="I47" s="41" t="s">
        <v>1650</v>
      </c>
      <c r="J47" s="41" t="s">
        <v>1877</v>
      </c>
      <c r="N47" s="41">
        <v>15</v>
      </c>
      <c r="O47" s="76">
        <f t="shared" si="0"/>
        <v>55.85</v>
      </c>
    </row>
    <row r="48" spans="1:17" x14ac:dyDescent="0.25">
      <c r="A48" s="41">
        <v>1</v>
      </c>
      <c r="B48" s="41">
        <v>980</v>
      </c>
      <c r="C48" s="250">
        <v>43665</v>
      </c>
      <c r="D48" s="41" t="s">
        <v>1797</v>
      </c>
      <c r="E48" s="41" t="s">
        <v>532</v>
      </c>
      <c r="F48" s="41" t="s">
        <v>2050</v>
      </c>
      <c r="G48" s="41" t="s">
        <v>2020</v>
      </c>
      <c r="H48" s="41">
        <v>700</v>
      </c>
      <c r="I48" s="41" t="s">
        <v>1650</v>
      </c>
      <c r="J48" s="41" t="s">
        <v>1877</v>
      </c>
      <c r="N48" s="41">
        <v>203</v>
      </c>
      <c r="O48" s="76">
        <f t="shared" si="0"/>
        <v>59.233333333333334</v>
      </c>
    </row>
    <row r="49" spans="1:17" x14ac:dyDescent="0.25">
      <c r="A49" s="41">
        <v>1</v>
      </c>
      <c r="B49" s="41">
        <v>981</v>
      </c>
      <c r="C49" s="250">
        <v>43666</v>
      </c>
      <c r="D49" s="41" t="s">
        <v>1797</v>
      </c>
      <c r="E49" s="41" t="s">
        <v>532</v>
      </c>
      <c r="F49" s="41" t="s">
        <v>2077</v>
      </c>
      <c r="G49" s="41" t="s">
        <v>2020</v>
      </c>
      <c r="H49" s="41">
        <v>800</v>
      </c>
      <c r="I49" s="41" t="s">
        <v>1650</v>
      </c>
      <c r="J49" s="41" t="s">
        <v>1877</v>
      </c>
      <c r="N49" s="41">
        <v>11</v>
      </c>
      <c r="O49" s="76">
        <f t="shared" si="0"/>
        <v>59.416666666666664</v>
      </c>
    </row>
    <row r="50" spans="1:17" ht="21" x14ac:dyDescent="0.25">
      <c r="A50" s="41">
        <v>1</v>
      </c>
      <c r="B50" s="41">
        <v>982</v>
      </c>
      <c r="C50" s="250">
        <v>43711</v>
      </c>
      <c r="D50" s="41" t="s">
        <v>1797</v>
      </c>
      <c r="E50" s="41" t="s">
        <v>532</v>
      </c>
      <c r="F50" s="41" t="s">
        <v>2050</v>
      </c>
      <c r="G50" s="41" t="s">
        <v>2048</v>
      </c>
      <c r="I50" s="41" t="s">
        <v>1650</v>
      </c>
      <c r="J50" s="41" t="s">
        <v>1877</v>
      </c>
      <c r="K50" s="41" t="s">
        <v>2095</v>
      </c>
      <c r="L50" s="41">
        <v>1700</v>
      </c>
      <c r="M50" s="59">
        <v>0.52083333333333337</v>
      </c>
      <c r="N50" s="41">
        <v>126</v>
      </c>
      <c r="O50" s="76">
        <f t="shared" si="0"/>
        <v>61.516666666666666</v>
      </c>
      <c r="Q50" s="43" t="s">
        <v>2097</v>
      </c>
    </row>
    <row r="51" spans="1:17" x14ac:dyDescent="0.25">
      <c r="A51" s="41">
        <v>1</v>
      </c>
      <c r="B51" s="41">
        <v>983</v>
      </c>
      <c r="C51" s="250">
        <v>43711</v>
      </c>
      <c r="D51" s="41" t="s">
        <v>1797</v>
      </c>
      <c r="E51" s="41" t="s">
        <v>532</v>
      </c>
      <c r="F51" s="41" t="s">
        <v>2077</v>
      </c>
      <c r="G51" s="41" t="s">
        <v>2020</v>
      </c>
      <c r="H51" s="41">
        <v>800</v>
      </c>
      <c r="I51" s="41" t="s">
        <v>1650</v>
      </c>
      <c r="J51" s="41" t="s">
        <v>1877</v>
      </c>
      <c r="K51" s="41" t="s">
        <v>2095</v>
      </c>
      <c r="M51" s="59">
        <v>0.75416666666666676</v>
      </c>
      <c r="N51" s="41">
        <v>15</v>
      </c>
      <c r="O51" s="76">
        <f t="shared" si="0"/>
        <v>61.766666666666666</v>
      </c>
      <c r="Q51" s="43" t="s">
        <v>2098</v>
      </c>
    </row>
    <row r="52" spans="1:17" ht="21" x14ac:dyDescent="0.25">
      <c r="A52" s="41">
        <v>1</v>
      </c>
      <c r="B52" s="41">
        <v>984</v>
      </c>
      <c r="C52" s="250">
        <v>43712</v>
      </c>
      <c r="D52" s="41" t="s">
        <v>1797</v>
      </c>
      <c r="E52" s="41" t="s">
        <v>532</v>
      </c>
      <c r="F52" s="41" t="s">
        <v>2050</v>
      </c>
      <c r="G52" s="41" t="s">
        <v>2020</v>
      </c>
      <c r="H52" s="41">
        <v>700</v>
      </c>
      <c r="I52" s="41" t="s">
        <v>1650</v>
      </c>
      <c r="J52" s="41" t="s">
        <v>1877</v>
      </c>
      <c r="K52" s="41" t="s">
        <v>2096</v>
      </c>
      <c r="M52" s="59">
        <v>0.52083333333333337</v>
      </c>
      <c r="N52" s="41">
        <v>18</v>
      </c>
      <c r="O52" s="76">
        <f t="shared" si="0"/>
        <v>62.066666666666663</v>
      </c>
      <c r="Q52" s="43" t="s">
        <v>2099</v>
      </c>
    </row>
    <row r="53" spans="1:17" ht="41.4" x14ac:dyDescent="0.25">
      <c r="A53" s="41">
        <v>1</v>
      </c>
      <c r="B53" s="41">
        <v>985</v>
      </c>
      <c r="C53" s="250">
        <v>43712</v>
      </c>
      <c r="D53" s="41" t="s">
        <v>1797</v>
      </c>
      <c r="E53" s="41" t="s">
        <v>532</v>
      </c>
      <c r="F53" s="41" t="s">
        <v>2050</v>
      </c>
      <c r="G53" s="41" t="s">
        <v>2048</v>
      </c>
      <c r="I53" s="41" t="s">
        <v>1650</v>
      </c>
      <c r="J53" s="41" t="s">
        <v>1877</v>
      </c>
      <c r="K53" s="41" t="s">
        <v>2096</v>
      </c>
      <c r="L53" s="41">
        <v>1650</v>
      </c>
      <c r="M53" s="59">
        <v>0.5625</v>
      </c>
      <c r="N53" s="41">
        <v>86</v>
      </c>
      <c r="O53" s="76">
        <f t="shared" si="0"/>
        <v>63.499999999999993</v>
      </c>
      <c r="Q53" s="43" t="s">
        <v>2100</v>
      </c>
    </row>
    <row r="54" spans="1:17" x14ac:dyDescent="0.25">
      <c r="A54" s="41">
        <v>1</v>
      </c>
      <c r="B54" s="41">
        <v>986</v>
      </c>
      <c r="C54" s="250">
        <v>43714</v>
      </c>
      <c r="D54" s="41" t="s">
        <v>1797</v>
      </c>
      <c r="E54" s="41" t="s">
        <v>532</v>
      </c>
      <c r="F54" s="41" t="s">
        <v>2050</v>
      </c>
      <c r="J54" s="41" t="s">
        <v>1877</v>
      </c>
      <c r="N54" s="41">
        <v>25</v>
      </c>
      <c r="O54" s="76">
        <f t="shared" si="0"/>
        <v>63.916666666666657</v>
      </c>
    </row>
    <row r="55" spans="1:17" hidden="1" x14ac:dyDescent="0.25">
      <c r="A55" s="41">
        <v>1</v>
      </c>
      <c r="B55" s="41">
        <v>987</v>
      </c>
      <c r="C55" s="250">
        <v>43715</v>
      </c>
      <c r="D55" s="41" t="s">
        <v>1924</v>
      </c>
      <c r="E55" s="41" t="s">
        <v>532</v>
      </c>
      <c r="F55" s="41" t="s">
        <v>2050</v>
      </c>
      <c r="G55" s="41" t="s">
        <v>2048</v>
      </c>
      <c r="I55" s="41" t="s">
        <v>1650</v>
      </c>
      <c r="J55" s="41" t="s">
        <v>1877</v>
      </c>
      <c r="N55" s="41">
        <v>20</v>
      </c>
      <c r="O55" s="76">
        <f t="shared" si="0"/>
        <v>64.249999999999986</v>
      </c>
      <c r="Q55" s="43" t="s">
        <v>2101</v>
      </c>
    </row>
    <row r="56" spans="1:17" hidden="1" x14ac:dyDescent="0.25">
      <c r="A56" s="41">
        <v>1</v>
      </c>
      <c r="B56" s="41">
        <v>988</v>
      </c>
      <c r="C56" s="250">
        <v>43715</v>
      </c>
      <c r="D56" s="41" t="s">
        <v>1924</v>
      </c>
      <c r="E56" s="41" t="s">
        <v>532</v>
      </c>
      <c r="F56" s="41" t="s">
        <v>2050</v>
      </c>
      <c r="J56" s="41" t="s">
        <v>1877</v>
      </c>
      <c r="N56" s="41">
        <v>37</v>
      </c>
      <c r="O56" s="76">
        <f t="shared" si="0"/>
        <v>64.866666666666646</v>
      </c>
      <c r="Q56" s="43" t="s">
        <v>2102</v>
      </c>
    </row>
    <row r="57" spans="1:17" hidden="1" x14ac:dyDescent="0.25">
      <c r="A57" s="41">
        <v>1</v>
      </c>
      <c r="B57" s="41">
        <v>989</v>
      </c>
      <c r="C57" s="250">
        <v>43715</v>
      </c>
      <c r="D57" s="41" t="s">
        <v>1924</v>
      </c>
      <c r="E57" s="41" t="s">
        <v>532</v>
      </c>
      <c r="F57" s="41" t="s">
        <v>2050</v>
      </c>
      <c r="J57" s="41" t="s">
        <v>1877</v>
      </c>
      <c r="N57" s="41">
        <v>45</v>
      </c>
      <c r="O57" s="76">
        <f t="shared" si="0"/>
        <v>65.616666666666646</v>
      </c>
      <c r="Q57" s="43" t="s">
        <v>2103</v>
      </c>
    </row>
    <row r="58" spans="1:17" hidden="1" x14ac:dyDescent="0.25">
      <c r="A58" s="41">
        <v>1</v>
      </c>
      <c r="B58" s="41">
        <v>990</v>
      </c>
      <c r="C58" s="250">
        <v>43715</v>
      </c>
      <c r="D58" s="41" t="s">
        <v>1924</v>
      </c>
      <c r="E58" s="41" t="s">
        <v>532</v>
      </c>
      <c r="F58" s="41" t="s">
        <v>2050</v>
      </c>
      <c r="J58" s="41" t="s">
        <v>1877</v>
      </c>
      <c r="N58" s="41">
        <v>35</v>
      </c>
      <c r="O58" s="76">
        <f t="shared" si="0"/>
        <v>66.199999999999974</v>
      </c>
      <c r="Q58" s="43" t="s">
        <v>2104</v>
      </c>
    </row>
    <row r="59" spans="1:17" x14ac:dyDescent="0.25">
      <c r="A59" s="41">
        <v>1</v>
      </c>
      <c r="B59" s="41">
        <v>991</v>
      </c>
      <c r="C59" s="250">
        <v>43720</v>
      </c>
      <c r="D59" s="41" t="s">
        <v>1797</v>
      </c>
      <c r="E59" s="41" t="s">
        <v>532</v>
      </c>
      <c r="F59" s="41" t="s">
        <v>2050</v>
      </c>
      <c r="G59" s="41" t="s">
        <v>2020</v>
      </c>
      <c r="H59" s="41">
        <v>700</v>
      </c>
      <c r="J59" s="41" t="s">
        <v>1877</v>
      </c>
      <c r="N59" s="41">
        <v>150</v>
      </c>
      <c r="O59" s="76">
        <f t="shared" si="0"/>
        <v>68.699999999999974</v>
      </c>
    </row>
    <row r="60" spans="1:17" x14ac:dyDescent="0.25">
      <c r="A60" s="41">
        <v>1</v>
      </c>
      <c r="B60" s="41">
        <v>992</v>
      </c>
      <c r="C60" s="250">
        <v>43724</v>
      </c>
      <c r="D60" s="41" t="s">
        <v>1797</v>
      </c>
      <c r="E60" s="41" t="s">
        <v>532</v>
      </c>
      <c r="F60" s="41" t="s">
        <v>2050</v>
      </c>
      <c r="J60" s="41" t="s">
        <v>1877</v>
      </c>
      <c r="N60" s="41">
        <v>73</v>
      </c>
      <c r="O60" s="76">
        <f t="shared" si="0"/>
        <v>69.916666666666643</v>
      </c>
    </row>
    <row r="61" spans="1:17" x14ac:dyDescent="0.25">
      <c r="A61" s="41">
        <v>1</v>
      </c>
      <c r="B61" s="41">
        <v>993</v>
      </c>
      <c r="C61" s="250">
        <v>43737</v>
      </c>
      <c r="D61" s="41" t="s">
        <v>1797</v>
      </c>
      <c r="E61" s="41" t="s">
        <v>532</v>
      </c>
      <c r="F61" s="41" t="s">
        <v>2050</v>
      </c>
      <c r="J61" s="41" t="s">
        <v>1877</v>
      </c>
      <c r="N61" s="41">
        <v>22</v>
      </c>
      <c r="O61" s="76">
        <f t="shared" si="0"/>
        <v>70.283333333333303</v>
      </c>
    </row>
    <row r="62" spans="1:17" x14ac:dyDescent="0.25">
      <c r="A62" s="41">
        <v>1</v>
      </c>
      <c r="B62" s="41">
        <v>994</v>
      </c>
      <c r="C62" s="250">
        <v>43737</v>
      </c>
      <c r="D62" s="41" t="s">
        <v>1797</v>
      </c>
      <c r="E62" s="41" t="s">
        <v>532</v>
      </c>
      <c r="F62" s="41" t="s">
        <v>2077</v>
      </c>
      <c r="G62" s="41" t="s">
        <v>2020</v>
      </c>
      <c r="H62" s="41">
        <v>800</v>
      </c>
      <c r="J62" s="41" t="s">
        <v>1877</v>
      </c>
      <c r="N62" s="41">
        <v>63</v>
      </c>
      <c r="O62" s="76">
        <f t="shared" si="0"/>
        <v>71.3333333333333</v>
      </c>
    </row>
    <row r="63" spans="1:17" x14ac:dyDescent="0.25">
      <c r="A63" s="41">
        <v>1</v>
      </c>
      <c r="B63" s="41">
        <v>995</v>
      </c>
      <c r="C63" s="250">
        <v>43738</v>
      </c>
      <c r="D63" s="41" t="s">
        <v>1797</v>
      </c>
      <c r="E63" s="41" t="s">
        <v>532</v>
      </c>
      <c r="F63" s="41" t="s">
        <v>2050</v>
      </c>
      <c r="G63" s="41" t="s">
        <v>2020</v>
      </c>
      <c r="H63" s="41">
        <v>700</v>
      </c>
      <c r="J63" s="41" t="s">
        <v>1877</v>
      </c>
      <c r="N63" s="41">
        <v>79</v>
      </c>
      <c r="O63" s="76">
        <f t="shared" si="0"/>
        <v>72.649999999999963</v>
      </c>
    </row>
    <row r="64" spans="1:17" x14ac:dyDescent="0.25">
      <c r="A64" s="41">
        <v>1</v>
      </c>
      <c r="B64" s="41">
        <v>996</v>
      </c>
      <c r="C64" s="250">
        <v>43738</v>
      </c>
      <c r="D64" s="41" t="s">
        <v>1797</v>
      </c>
      <c r="E64" s="41" t="s">
        <v>532</v>
      </c>
      <c r="F64" s="41" t="s">
        <v>2077</v>
      </c>
      <c r="G64" s="41" t="s">
        <v>2020</v>
      </c>
      <c r="H64" s="41">
        <v>400</v>
      </c>
      <c r="J64" s="41" t="s">
        <v>1877</v>
      </c>
      <c r="N64" s="41">
        <v>70</v>
      </c>
      <c r="O64" s="76">
        <f t="shared" si="0"/>
        <v>73.816666666666634</v>
      </c>
    </row>
    <row r="65" spans="1:15" x14ac:dyDescent="0.25">
      <c r="A65" s="41">
        <v>1</v>
      </c>
      <c r="B65" s="41">
        <v>997</v>
      </c>
      <c r="C65" s="250">
        <v>43741</v>
      </c>
      <c r="D65" s="41" t="s">
        <v>1797</v>
      </c>
      <c r="E65" s="41" t="s">
        <v>532</v>
      </c>
      <c r="F65" s="41" t="s">
        <v>2050</v>
      </c>
      <c r="J65" s="41" t="s">
        <v>1877</v>
      </c>
      <c r="N65" s="41">
        <v>11</v>
      </c>
      <c r="O65" s="76">
        <f t="shared" si="0"/>
        <v>73.999999999999972</v>
      </c>
    </row>
    <row r="66" spans="1:15" x14ac:dyDescent="0.25">
      <c r="A66" s="41">
        <v>1</v>
      </c>
      <c r="B66" s="41">
        <v>998</v>
      </c>
      <c r="C66" s="250">
        <v>43741</v>
      </c>
      <c r="D66" s="41" t="s">
        <v>1797</v>
      </c>
      <c r="E66" s="41" t="s">
        <v>532</v>
      </c>
      <c r="F66" s="41" t="s">
        <v>2050</v>
      </c>
      <c r="J66" s="41" t="s">
        <v>1877</v>
      </c>
      <c r="N66" s="41">
        <v>8</v>
      </c>
      <c r="O66" s="76">
        <f t="shared" si="0"/>
        <v>74.133333333333312</v>
      </c>
    </row>
    <row r="67" spans="1:15" x14ac:dyDescent="0.25">
      <c r="A67" s="41">
        <v>1</v>
      </c>
      <c r="B67" s="41">
        <v>999</v>
      </c>
      <c r="C67" s="250">
        <v>43741</v>
      </c>
      <c r="D67" s="41" t="s">
        <v>1797</v>
      </c>
      <c r="E67" s="41" t="s">
        <v>532</v>
      </c>
      <c r="F67" s="41" t="s">
        <v>2077</v>
      </c>
      <c r="G67" s="41" t="s">
        <v>2020</v>
      </c>
      <c r="H67" s="41">
        <v>100</v>
      </c>
      <c r="J67" s="41" t="s">
        <v>1877</v>
      </c>
      <c r="N67" s="41">
        <v>20</v>
      </c>
      <c r="O67" s="76">
        <f t="shared" si="0"/>
        <v>74.46666666666664</v>
      </c>
    </row>
    <row r="68" spans="1:15" x14ac:dyDescent="0.25">
      <c r="A68" s="41">
        <v>1</v>
      </c>
      <c r="B68" s="41">
        <v>1000</v>
      </c>
      <c r="C68" s="250">
        <v>43746</v>
      </c>
      <c r="D68" s="41" t="s">
        <v>1797</v>
      </c>
      <c r="E68" s="41" t="s">
        <v>532</v>
      </c>
      <c r="F68" s="41" t="s">
        <v>1836</v>
      </c>
      <c r="G68" s="41" t="s">
        <v>2020</v>
      </c>
      <c r="H68" s="41">
        <v>400</v>
      </c>
      <c r="J68" s="41" t="s">
        <v>1877</v>
      </c>
      <c r="N68" s="41">
        <v>120</v>
      </c>
      <c r="O68" s="76">
        <f t="shared" ref="O68:O79" si="1">(O67+N68/60)</f>
        <v>76.46666666666664</v>
      </c>
    </row>
    <row r="69" spans="1:15" x14ac:dyDescent="0.25">
      <c r="A69" s="41">
        <v>1</v>
      </c>
      <c r="B69" s="41">
        <v>1001</v>
      </c>
      <c r="C69" s="250">
        <v>43750</v>
      </c>
      <c r="D69" s="41" t="s">
        <v>1797</v>
      </c>
      <c r="E69" s="41" t="s">
        <v>1887</v>
      </c>
      <c r="F69" s="41" t="s">
        <v>2105</v>
      </c>
      <c r="G69" s="41" t="s">
        <v>2020</v>
      </c>
      <c r="H69" s="41">
        <v>550</v>
      </c>
      <c r="J69" s="41" t="s">
        <v>1877</v>
      </c>
      <c r="N69" s="41">
        <v>40</v>
      </c>
      <c r="O69" s="76">
        <f t="shared" si="1"/>
        <v>77.133333333333312</v>
      </c>
    </row>
    <row r="70" spans="1:15" x14ac:dyDescent="0.25">
      <c r="A70" s="41">
        <v>1</v>
      </c>
      <c r="B70" s="41">
        <v>1002</v>
      </c>
      <c r="C70" s="250">
        <v>43752</v>
      </c>
      <c r="D70" s="41" t="s">
        <v>1797</v>
      </c>
      <c r="E70" s="41" t="s">
        <v>1887</v>
      </c>
      <c r="F70" s="41" t="s">
        <v>2105</v>
      </c>
      <c r="G70" s="41" t="s">
        <v>2020</v>
      </c>
      <c r="H70" s="41">
        <v>550</v>
      </c>
      <c r="J70" s="41" t="s">
        <v>1877</v>
      </c>
      <c r="N70" s="41">
        <v>43</v>
      </c>
      <c r="O70" s="76">
        <f t="shared" si="1"/>
        <v>77.84999999999998</v>
      </c>
    </row>
    <row r="71" spans="1:15" x14ac:dyDescent="0.25">
      <c r="A71" s="41">
        <v>1</v>
      </c>
      <c r="B71" s="41">
        <v>1003</v>
      </c>
      <c r="C71" s="250">
        <v>43752</v>
      </c>
      <c r="D71" s="41" t="s">
        <v>1797</v>
      </c>
      <c r="E71" s="41" t="s">
        <v>1887</v>
      </c>
      <c r="F71" s="41" t="s">
        <v>2105</v>
      </c>
      <c r="J71" s="41" t="s">
        <v>1877</v>
      </c>
      <c r="N71" s="41">
        <v>60</v>
      </c>
      <c r="O71" s="76">
        <f t="shared" si="1"/>
        <v>78.84999999999998</v>
      </c>
    </row>
    <row r="72" spans="1:15" x14ac:dyDescent="0.25">
      <c r="A72" s="41">
        <v>1</v>
      </c>
      <c r="B72" s="41">
        <v>1004</v>
      </c>
      <c r="C72" s="250">
        <v>43752</v>
      </c>
      <c r="D72" s="41" t="s">
        <v>1797</v>
      </c>
      <c r="E72" s="41" t="s">
        <v>1887</v>
      </c>
      <c r="F72" s="41" t="s">
        <v>2105</v>
      </c>
      <c r="J72" s="41" t="s">
        <v>1877</v>
      </c>
      <c r="N72" s="41">
        <v>30</v>
      </c>
      <c r="O72" s="76">
        <f t="shared" si="1"/>
        <v>79.34999999999998</v>
      </c>
    </row>
    <row r="73" spans="1:15" x14ac:dyDescent="0.25">
      <c r="A73" s="41">
        <v>1</v>
      </c>
      <c r="B73" s="41">
        <v>1005</v>
      </c>
      <c r="C73" s="250">
        <v>43753</v>
      </c>
      <c r="D73" s="41" t="s">
        <v>1797</v>
      </c>
      <c r="E73" s="41" t="s">
        <v>1887</v>
      </c>
      <c r="F73" s="41" t="s">
        <v>2105</v>
      </c>
      <c r="G73" s="41" t="s">
        <v>2020</v>
      </c>
      <c r="H73" s="41">
        <v>550</v>
      </c>
      <c r="J73" s="41" t="s">
        <v>1877</v>
      </c>
      <c r="N73" s="41">
        <v>14</v>
      </c>
      <c r="O73" s="76">
        <f t="shared" si="1"/>
        <v>79.583333333333314</v>
      </c>
    </row>
    <row r="74" spans="1:15" x14ac:dyDescent="0.25">
      <c r="A74" s="41">
        <v>1</v>
      </c>
      <c r="B74" s="41">
        <v>1006</v>
      </c>
      <c r="C74" s="250">
        <v>43754</v>
      </c>
      <c r="D74" s="41" t="s">
        <v>1797</v>
      </c>
      <c r="E74" s="41" t="s">
        <v>1887</v>
      </c>
      <c r="F74" s="41" t="s">
        <v>2105</v>
      </c>
      <c r="G74" s="41" t="s">
        <v>2020</v>
      </c>
      <c r="H74" s="41">
        <v>550</v>
      </c>
      <c r="J74" s="41" t="s">
        <v>1877</v>
      </c>
      <c r="N74" s="41">
        <v>9</v>
      </c>
      <c r="O74" s="76">
        <f t="shared" si="1"/>
        <v>79.73333333333332</v>
      </c>
    </row>
    <row r="75" spans="1:15" x14ac:dyDescent="0.25">
      <c r="A75" s="41">
        <v>1</v>
      </c>
      <c r="B75" s="41">
        <v>1007</v>
      </c>
      <c r="C75" s="250">
        <v>43754</v>
      </c>
      <c r="D75" s="41" t="s">
        <v>1797</v>
      </c>
      <c r="E75" s="41" t="s">
        <v>1887</v>
      </c>
      <c r="F75" s="41" t="s">
        <v>2105</v>
      </c>
      <c r="J75" s="41" t="s">
        <v>1877</v>
      </c>
      <c r="N75" s="41">
        <v>65</v>
      </c>
      <c r="O75" s="76">
        <f t="shared" si="1"/>
        <v>80.816666666666649</v>
      </c>
    </row>
    <row r="76" spans="1:15" x14ac:dyDescent="0.25">
      <c r="A76" s="41">
        <v>1</v>
      </c>
      <c r="B76" s="41">
        <v>1008</v>
      </c>
      <c r="C76" s="250">
        <v>43758</v>
      </c>
      <c r="D76" s="41" t="s">
        <v>1797</v>
      </c>
      <c r="E76" s="41" t="s">
        <v>1887</v>
      </c>
      <c r="F76" s="41" t="s">
        <v>1890</v>
      </c>
      <c r="J76" s="41" t="s">
        <v>1877</v>
      </c>
      <c r="N76" s="41">
        <v>60</v>
      </c>
      <c r="O76" s="76">
        <f t="shared" si="1"/>
        <v>81.816666666666649</v>
      </c>
    </row>
    <row r="77" spans="1:15" x14ac:dyDescent="0.25">
      <c r="A77" s="41">
        <v>1</v>
      </c>
      <c r="B77" s="41">
        <v>1009</v>
      </c>
      <c r="C77" s="250">
        <v>43759</v>
      </c>
      <c r="D77" s="41" t="s">
        <v>1797</v>
      </c>
      <c r="E77" s="41" t="s">
        <v>1887</v>
      </c>
      <c r="F77" s="41" t="s">
        <v>1890</v>
      </c>
      <c r="J77" s="41" t="s">
        <v>1877</v>
      </c>
      <c r="N77" s="41">
        <v>60</v>
      </c>
      <c r="O77" s="76">
        <f t="shared" si="1"/>
        <v>82.816666666666649</v>
      </c>
    </row>
    <row r="78" spans="1:15" x14ac:dyDescent="0.25">
      <c r="A78" s="41">
        <v>1</v>
      </c>
      <c r="B78" s="41">
        <v>1010</v>
      </c>
      <c r="C78" s="250">
        <v>43760</v>
      </c>
      <c r="D78" s="41" t="s">
        <v>1797</v>
      </c>
      <c r="E78" s="41" t="s">
        <v>1887</v>
      </c>
      <c r="F78" s="41" t="s">
        <v>1890</v>
      </c>
      <c r="J78" s="41" t="s">
        <v>1877</v>
      </c>
      <c r="N78" s="41">
        <v>60</v>
      </c>
      <c r="O78" s="76">
        <f t="shared" si="1"/>
        <v>83.816666666666649</v>
      </c>
    </row>
    <row r="79" spans="1:15" x14ac:dyDescent="0.25">
      <c r="A79" s="41">
        <v>1</v>
      </c>
      <c r="B79" s="41">
        <v>1011</v>
      </c>
      <c r="C79" s="250">
        <v>43761</v>
      </c>
      <c r="D79" s="41" t="s">
        <v>1797</v>
      </c>
      <c r="E79" s="41" t="s">
        <v>1887</v>
      </c>
      <c r="F79" s="41" t="s">
        <v>1890</v>
      </c>
      <c r="J79" s="41" t="s">
        <v>1877</v>
      </c>
      <c r="N79" s="41">
        <v>60</v>
      </c>
      <c r="O79" s="76">
        <f t="shared" si="1"/>
        <v>84.816666666666649</v>
      </c>
    </row>
    <row r="80" spans="1:15" hidden="1" x14ac:dyDescent="0.25"/>
    <row r="81" spans="2:2" hidden="1" x14ac:dyDescent="0.25"/>
    <row r="82" spans="2:2" hidden="1" x14ac:dyDescent="0.25"/>
    <row r="83" spans="2:2" hidden="1" x14ac:dyDescent="0.25"/>
    <row r="84" spans="2:2" hidden="1" x14ac:dyDescent="0.25"/>
    <row r="85" spans="2:2" hidden="1" x14ac:dyDescent="0.25"/>
    <row r="86" spans="2:2" hidden="1" x14ac:dyDescent="0.25"/>
    <row r="87" spans="2:2" hidden="1" x14ac:dyDescent="0.25"/>
    <row r="88" spans="2:2" hidden="1" x14ac:dyDescent="0.25"/>
    <row r="89" spans="2:2" hidden="1" x14ac:dyDescent="0.25"/>
    <row r="90" spans="2:2" hidden="1" x14ac:dyDescent="0.25"/>
    <row r="91" spans="2:2" hidden="1" x14ac:dyDescent="0.25"/>
    <row r="92" spans="2:2" hidden="1" x14ac:dyDescent="0.25"/>
    <row r="93" spans="2:2" hidden="1" x14ac:dyDescent="0.25"/>
    <row r="94" spans="2:2" hidden="1" x14ac:dyDescent="0.25"/>
    <row r="95" spans="2:2" hidden="1" x14ac:dyDescent="0.25">
      <c r="B95" s="42"/>
    </row>
    <row r="96" spans="2:2"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sheetData>
  <autoFilter ref="A1:R114">
    <filterColumn colId="3">
      <filters>
        <filter val="Nevada 2 - 24"/>
      </filters>
    </filterColumn>
  </autoFilter>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P26" sqref="P26"/>
    </sheetView>
  </sheetViews>
  <sheetFormatPr baseColWidth="10" defaultRowHeight="13.2"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28"/>
  <sheetViews>
    <sheetView zoomScale="110" zoomScaleNormal="110" workbookViewId="0">
      <pane ySplit="1" topLeftCell="A126" activePane="bottomLeft" state="frozen"/>
      <selection pane="bottomLeft" activeCell="N2" sqref="N2:N128"/>
    </sheetView>
  </sheetViews>
  <sheetFormatPr baseColWidth="10" defaultRowHeight="13.2" x14ac:dyDescent="0.25"/>
  <cols>
    <col min="1" max="2" width="11.5546875" style="41"/>
    <col min="3" max="3" width="11.5546875" style="250"/>
    <col min="4" max="6" width="11.5546875" style="41"/>
    <col min="7" max="8" width="8.21875" style="41" bestFit="1" customWidth="1"/>
    <col min="9" max="12" width="11.5546875" style="41"/>
    <col min="13" max="13" width="11.5546875" style="59"/>
    <col min="14" max="14" width="11.5546875" style="41"/>
    <col min="15" max="15" width="11.5546875" style="76"/>
    <col min="16" max="16" width="11.5546875" style="41"/>
    <col min="17" max="17" width="99.6640625" style="43" customWidth="1"/>
    <col min="18" max="18" width="15.88671875" style="41" customWidth="1"/>
  </cols>
  <sheetData>
    <row r="1" spans="1:18" s="245" customFormat="1" ht="10.199999999999999" x14ac:dyDescent="0.2">
      <c r="A1" s="244" t="s">
        <v>1178</v>
      </c>
      <c r="B1" s="244" t="s">
        <v>1164</v>
      </c>
      <c r="C1" s="249" t="s">
        <v>1165</v>
      </c>
      <c r="D1" s="244" t="s">
        <v>1166</v>
      </c>
      <c r="E1" s="244" t="s">
        <v>1167</v>
      </c>
      <c r="F1" s="244" t="s">
        <v>530</v>
      </c>
      <c r="G1" s="244" t="s">
        <v>1989</v>
      </c>
      <c r="H1" s="244" t="s">
        <v>1180</v>
      </c>
      <c r="I1" s="244" t="s">
        <v>531</v>
      </c>
      <c r="J1" s="244" t="s">
        <v>1829</v>
      </c>
      <c r="K1" s="244" t="s">
        <v>1177</v>
      </c>
      <c r="L1" s="244" t="s">
        <v>1173</v>
      </c>
      <c r="M1" s="246" t="s">
        <v>411</v>
      </c>
      <c r="N1" s="244" t="s">
        <v>1175</v>
      </c>
      <c r="O1" s="247" t="s">
        <v>321</v>
      </c>
      <c r="P1" s="244" t="s">
        <v>1179</v>
      </c>
      <c r="Q1" s="251" t="s">
        <v>383</v>
      </c>
      <c r="R1" s="244" t="s">
        <v>1176</v>
      </c>
    </row>
    <row r="2" spans="1:18" x14ac:dyDescent="0.25">
      <c r="A2" s="41">
        <v>1</v>
      </c>
      <c r="B2" s="41">
        <v>799</v>
      </c>
      <c r="C2" s="250">
        <v>43118</v>
      </c>
      <c r="D2" s="41" t="s">
        <v>1797</v>
      </c>
      <c r="E2" s="41" t="s">
        <v>532</v>
      </c>
      <c r="F2" s="41" t="s">
        <v>423</v>
      </c>
      <c r="I2" s="41" t="s">
        <v>423</v>
      </c>
      <c r="J2" s="41" t="s">
        <v>1877</v>
      </c>
      <c r="K2" s="41" t="s">
        <v>1758</v>
      </c>
      <c r="L2" s="41">
        <v>700</v>
      </c>
      <c r="M2" s="59">
        <v>0.55208333333333337</v>
      </c>
      <c r="N2" s="41">
        <v>15</v>
      </c>
      <c r="O2" s="76">
        <f>(N2/60)</f>
        <v>0.25</v>
      </c>
      <c r="Q2" s="43" t="s">
        <v>1880</v>
      </c>
    </row>
    <row r="3" spans="1:18" x14ac:dyDescent="0.25">
      <c r="A3" s="41">
        <v>1</v>
      </c>
      <c r="B3" s="41">
        <v>800</v>
      </c>
      <c r="C3" s="250">
        <v>43118</v>
      </c>
      <c r="D3" s="41" t="s">
        <v>1797</v>
      </c>
      <c r="E3" s="41" t="s">
        <v>532</v>
      </c>
      <c r="F3" s="41" t="s">
        <v>423</v>
      </c>
      <c r="I3" s="41" t="s">
        <v>423</v>
      </c>
      <c r="J3" s="41" t="s">
        <v>1877</v>
      </c>
      <c r="K3" s="41" t="s">
        <v>1758</v>
      </c>
      <c r="L3" s="41">
        <v>700</v>
      </c>
      <c r="M3" s="59">
        <v>0.59375</v>
      </c>
      <c r="N3" s="41">
        <v>17</v>
      </c>
      <c r="O3" s="76">
        <f t="shared" ref="O3:O66" si="0">(O2+N3/60)</f>
        <v>0.53333333333333333</v>
      </c>
      <c r="Q3" s="43" t="s">
        <v>1881</v>
      </c>
    </row>
    <row r="4" spans="1:18" ht="31.2" x14ac:dyDescent="0.25">
      <c r="A4" s="41">
        <v>1</v>
      </c>
      <c r="B4" s="41">
        <v>801</v>
      </c>
      <c r="C4" s="250">
        <v>43124</v>
      </c>
      <c r="D4" s="41" t="s">
        <v>1797</v>
      </c>
      <c r="E4" s="41" t="s">
        <v>532</v>
      </c>
      <c r="F4" s="41" t="s">
        <v>1650</v>
      </c>
      <c r="G4" s="41" t="s">
        <v>1830</v>
      </c>
      <c r="H4" s="41">
        <v>1100</v>
      </c>
      <c r="I4" s="41" t="s">
        <v>1650</v>
      </c>
      <c r="K4" s="41" t="s">
        <v>661</v>
      </c>
      <c r="M4" s="59">
        <v>0.60416666666666663</v>
      </c>
      <c r="N4" s="41">
        <v>28</v>
      </c>
      <c r="O4" s="76">
        <f t="shared" si="0"/>
        <v>1</v>
      </c>
      <c r="Q4" s="43" t="s">
        <v>1882</v>
      </c>
    </row>
    <row r="5" spans="1:18" x14ac:dyDescent="0.25">
      <c r="A5" s="41">
        <v>1</v>
      </c>
      <c r="B5" s="41">
        <v>802</v>
      </c>
      <c r="C5" s="250">
        <v>43130</v>
      </c>
      <c r="D5" s="41" t="s">
        <v>1797</v>
      </c>
      <c r="E5" s="41" t="s">
        <v>1887</v>
      </c>
      <c r="F5" s="41" t="s">
        <v>1888</v>
      </c>
      <c r="G5" s="41" t="s">
        <v>1830</v>
      </c>
      <c r="H5" s="41">
        <v>550</v>
      </c>
      <c r="I5" s="41" t="s">
        <v>1888</v>
      </c>
      <c r="N5" s="41">
        <v>20</v>
      </c>
      <c r="O5" s="76">
        <f t="shared" si="0"/>
        <v>1.3333333333333333</v>
      </c>
    </row>
    <row r="6" spans="1:18" x14ac:dyDescent="0.25">
      <c r="A6" s="41">
        <v>1</v>
      </c>
      <c r="B6" s="41">
        <v>803</v>
      </c>
      <c r="C6" s="250">
        <v>43130</v>
      </c>
      <c r="D6" s="41" t="s">
        <v>1797</v>
      </c>
      <c r="E6" s="41" t="s">
        <v>1887</v>
      </c>
      <c r="F6" s="41" t="s">
        <v>1888</v>
      </c>
      <c r="G6" s="41" t="s">
        <v>1830</v>
      </c>
      <c r="H6" s="41">
        <v>550</v>
      </c>
      <c r="I6" s="41" t="s">
        <v>1888</v>
      </c>
      <c r="N6" s="41">
        <v>60</v>
      </c>
      <c r="O6" s="76">
        <f t="shared" si="0"/>
        <v>2.333333333333333</v>
      </c>
    </row>
    <row r="7" spans="1:18" x14ac:dyDescent="0.25">
      <c r="A7" s="41">
        <v>1</v>
      </c>
      <c r="B7" s="41">
        <v>804</v>
      </c>
      <c r="C7" s="250">
        <v>43132</v>
      </c>
      <c r="D7" s="41" t="s">
        <v>1797</v>
      </c>
      <c r="E7" s="41" t="s">
        <v>1887</v>
      </c>
      <c r="F7" s="41" t="s">
        <v>1888</v>
      </c>
      <c r="G7" s="41" t="s">
        <v>1830</v>
      </c>
      <c r="H7" s="41">
        <v>550</v>
      </c>
      <c r="I7" s="41" t="s">
        <v>1888</v>
      </c>
      <c r="N7" s="41">
        <v>60</v>
      </c>
      <c r="O7" s="76">
        <f t="shared" si="0"/>
        <v>3.333333333333333</v>
      </c>
    </row>
    <row r="8" spans="1:18" x14ac:dyDescent="0.25">
      <c r="A8" s="41">
        <v>1</v>
      </c>
      <c r="B8" s="41">
        <v>805</v>
      </c>
      <c r="C8" s="250">
        <v>43132</v>
      </c>
      <c r="D8" s="41" t="s">
        <v>1797</v>
      </c>
      <c r="E8" s="41" t="s">
        <v>1887</v>
      </c>
      <c r="F8" s="41" t="s">
        <v>1888</v>
      </c>
      <c r="I8" s="41" t="s">
        <v>1888</v>
      </c>
      <c r="N8" s="41">
        <v>39</v>
      </c>
      <c r="O8" s="76">
        <f t="shared" si="0"/>
        <v>3.9833333333333329</v>
      </c>
    </row>
    <row r="9" spans="1:18" x14ac:dyDescent="0.25">
      <c r="A9" s="41">
        <v>1</v>
      </c>
      <c r="B9" s="41">
        <v>806</v>
      </c>
      <c r="C9" s="250">
        <v>43134</v>
      </c>
      <c r="D9" s="41" t="s">
        <v>1797</v>
      </c>
      <c r="E9" s="41" t="s">
        <v>1887</v>
      </c>
      <c r="F9" s="41" t="s">
        <v>1889</v>
      </c>
      <c r="I9" s="41" t="s">
        <v>1889</v>
      </c>
      <c r="N9" s="41">
        <v>32</v>
      </c>
      <c r="O9" s="76">
        <f t="shared" si="0"/>
        <v>4.5166666666666666</v>
      </c>
    </row>
    <row r="10" spans="1:18" x14ac:dyDescent="0.25">
      <c r="A10" s="41">
        <v>1</v>
      </c>
      <c r="B10" s="41">
        <v>807</v>
      </c>
      <c r="C10" s="250">
        <v>43137</v>
      </c>
      <c r="D10" s="41" t="s">
        <v>1797</v>
      </c>
      <c r="E10" s="41" t="s">
        <v>1887</v>
      </c>
      <c r="F10" s="41" t="s">
        <v>1890</v>
      </c>
      <c r="I10" s="41" t="s">
        <v>1890</v>
      </c>
      <c r="N10" s="41">
        <v>15</v>
      </c>
      <c r="O10" s="76">
        <f t="shared" si="0"/>
        <v>4.7666666666666666</v>
      </c>
    </row>
    <row r="11" spans="1:18" x14ac:dyDescent="0.25">
      <c r="A11" s="41">
        <v>1</v>
      </c>
      <c r="B11" s="41">
        <v>808</v>
      </c>
      <c r="C11" s="250">
        <v>43140</v>
      </c>
      <c r="D11" s="41" t="s">
        <v>1797</v>
      </c>
      <c r="E11" s="41" t="s">
        <v>1887</v>
      </c>
      <c r="F11" s="41" t="s">
        <v>1890</v>
      </c>
      <c r="I11" s="41" t="s">
        <v>1890</v>
      </c>
      <c r="N11" s="41">
        <v>65</v>
      </c>
      <c r="O11" s="76">
        <f t="shared" si="0"/>
        <v>5.85</v>
      </c>
    </row>
    <row r="12" spans="1:18" x14ac:dyDescent="0.25">
      <c r="A12" s="41">
        <v>1</v>
      </c>
      <c r="B12" s="41">
        <v>809</v>
      </c>
      <c r="C12" s="250">
        <v>43141</v>
      </c>
      <c r="D12" s="41" t="s">
        <v>1797</v>
      </c>
      <c r="E12" s="41" t="s">
        <v>1887</v>
      </c>
      <c r="F12" s="41" t="s">
        <v>1891</v>
      </c>
      <c r="I12" s="41" t="s">
        <v>1891</v>
      </c>
      <c r="N12" s="41">
        <v>60</v>
      </c>
      <c r="O12" s="76">
        <f t="shared" si="0"/>
        <v>6.85</v>
      </c>
    </row>
    <row r="13" spans="1:18" x14ac:dyDescent="0.25">
      <c r="A13" s="41">
        <v>1</v>
      </c>
      <c r="B13" s="41">
        <v>810</v>
      </c>
      <c r="C13" s="250">
        <v>43142</v>
      </c>
      <c r="D13" s="41" t="s">
        <v>1797</v>
      </c>
      <c r="E13" s="41" t="s">
        <v>1887</v>
      </c>
      <c r="F13" s="41" t="s">
        <v>1891</v>
      </c>
      <c r="I13" s="41" t="s">
        <v>1891</v>
      </c>
      <c r="N13" s="41">
        <v>75</v>
      </c>
      <c r="O13" s="76">
        <f t="shared" si="0"/>
        <v>8.1</v>
      </c>
    </row>
    <row r="14" spans="1:18" x14ac:dyDescent="0.25">
      <c r="A14" s="41">
        <v>1</v>
      </c>
      <c r="B14" s="41">
        <v>811</v>
      </c>
      <c r="C14" s="250">
        <v>43143</v>
      </c>
      <c r="D14" s="41" t="s">
        <v>1797</v>
      </c>
      <c r="E14" s="41" t="s">
        <v>1887</v>
      </c>
      <c r="F14" s="41" t="s">
        <v>1892</v>
      </c>
      <c r="G14" s="41" t="s">
        <v>1830</v>
      </c>
      <c r="H14" s="41">
        <v>600</v>
      </c>
      <c r="I14" s="41" t="s">
        <v>1892</v>
      </c>
      <c r="N14" s="41">
        <v>45</v>
      </c>
      <c r="O14" s="76">
        <f t="shared" si="0"/>
        <v>8.85</v>
      </c>
    </row>
    <row r="15" spans="1:18" x14ac:dyDescent="0.25">
      <c r="A15" s="41">
        <v>1</v>
      </c>
      <c r="B15" s="41">
        <v>812</v>
      </c>
      <c r="C15" s="250">
        <v>43144</v>
      </c>
      <c r="D15" s="41" t="s">
        <v>1797</v>
      </c>
      <c r="E15" s="41" t="s">
        <v>1887</v>
      </c>
      <c r="F15" s="41" t="s">
        <v>1888</v>
      </c>
      <c r="G15" s="41" t="s">
        <v>1830</v>
      </c>
      <c r="H15" s="41">
        <v>550</v>
      </c>
      <c r="I15" s="41" t="s">
        <v>1888</v>
      </c>
      <c r="N15" s="41">
        <v>114</v>
      </c>
      <c r="O15" s="76">
        <f t="shared" si="0"/>
        <v>10.75</v>
      </c>
    </row>
    <row r="16" spans="1:18" x14ac:dyDescent="0.25">
      <c r="A16" s="41">
        <v>1</v>
      </c>
      <c r="B16" s="41">
        <v>813</v>
      </c>
      <c r="C16" s="250">
        <v>43144</v>
      </c>
      <c r="D16" s="41" t="s">
        <v>1797</v>
      </c>
      <c r="E16" s="41" t="s">
        <v>1887</v>
      </c>
      <c r="F16" s="41" t="s">
        <v>1888</v>
      </c>
      <c r="I16" s="41" t="s">
        <v>1888</v>
      </c>
      <c r="N16" s="41">
        <v>15</v>
      </c>
      <c r="O16" s="76">
        <f t="shared" si="0"/>
        <v>11</v>
      </c>
    </row>
    <row r="17" spans="1:18" x14ac:dyDescent="0.25">
      <c r="A17" s="41">
        <v>1</v>
      </c>
      <c r="B17" s="41">
        <v>814</v>
      </c>
      <c r="C17" s="250">
        <v>43145</v>
      </c>
      <c r="D17" s="41" t="s">
        <v>1797</v>
      </c>
      <c r="E17" s="41" t="s">
        <v>1887</v>
      </c>
      <c r="F17" s="41" t="s">
        <v>1888</v>
      </c>
      <c r="G17" s="41" t="s">
        <v>1830</v>
      </c>
      <c r="H17" s="41">
        <v>550</v>
      </c>
      <c r="I17" s="41" t="s">
        <v>1888</v>
      </c>
      <c r="N17" s="41">
        <v>122</v>
      </c>
      <c r="O17" s="76">
        <f t="shared" si="0"/>
        <v>13.033333333333333</v>
      </c>
    </row>
    <row r="18" spans="1:18" x14ac:dyDescent="0.25">
      <c r="A18" s="41">
        <v>1</v>
      </c>
      <c r="B18" s="41">
        <v>815</v>
      </c>
      <c r="C18" s="250">
        <v>43145</v>
      </c>
      <c r="D18" s="41" t="s">
        <v>1797</v>
      </c>
      <c r="E18" s="41" t="s">
        <v>1887</v>
      </c>
      <c r="F18" s="41" t="s">
        <v>1888</v>
      </c>
      <c r="I18" s="41" t="s">
        <v>1888</v>
      </c>
      <c r="N18" s="41">
        <v>52</v>
      </c>
      <c r="O18" s="76">
        <f t="shared" si="0"/>
        <v>13.9</v>
      </c>
    </row>
    <row r="19" spans="1:18" ht="31.2" x14ac:dyDescent="0.25">
      <c r="A19" s="41">
        <v>1</v>
      </c>
      <c r="B19" s="41">
        <v>816</v>
      </c>
      <c r="C19" s="250">
        <v>43156</v>
      </c>
      <c r="D19" s="41" t="s">
        <v>1797</v>
      </c>
      <c r="E19" s="41" t="s">
        <v>532</v>
      </c>
      <c r="F19" s="41" t="s">
        <v>406</v>
      </c>
      <c r="I19" s="41" t="s">
        <v>406</v>
      </c>
      <c r="K19" s="41" t="s">
        <v>1893</v>
      </c>
      <c r="M19" s="59">
        <v>0.70833333333333337</v>
      </c>
      <c r="N19" s="41">
        <v>20</v>
      </c>
      <c r="O19" s="76">
        <f t="shared" si="0"/>
        <v>14.233333333333334</v>
      </c>
      <c r="Q19" s="43" t="s">
        <v>1894</v>
      </c>
    </row>
    <row r="20" spans="1:18" ht="31.2" x14ac:dyDescent="0.25">
      <c r="A20" s="41">
        <v>1</v>
      </c>
      <c r="B20" s="41">
        <v>817</v>
      </c>
      <c r="C20" s="250">
        <v>43158</v>
      </c>
      <c r="D20" s="41" t="s">
        <v>1797</v>
      </c>
      <c r="E20" s="41" t="s">
        <v>532</v>
      </c>
      <c r="F20" s="41" t="s">
        <v>1650</v>
      </c>
      <c r="I20" s="41" t="s">
        <v>1650</v>
      </c>
      <c r="M20" s="59">
        <v>0.46527777777777773</v>
      </c>
      <c r="N20" s="41">
        <v>84</v>
      </c>
      <c r="O20" s="76">
        <f t="shared" si="0"/>
        <v>15.633333333333335</v>
      </c>
      <c r="Q20" s="43" t="s">
        <v>1895</v>
      </c>
    </row>
    <row r="21" spans="1:18" x14ac:dyDescent="0.25">
      <c r="A21" s="41">
        <v>1</v>
      </c>
      <c r="B21" s="41">
        <v>818</v>
      </c>
      <c r="C21" s="250">
        <v>43168</v>
      </c>
      <c r="D21" s="41" t="s">
        <v>1797</v>
      </c>
      <c r="E21" s="41" t="s">
        <v>532</v>
      </c>
      <c r="F21" s="41" t="s">
        <v>1650</v>
      </c>
      <c r="I21" s="41" t="s">
        <v>1650</v>
      </c>
      <c r="K21" s="41" t="s">
        <v>1896</v>
      </c>
      <c r="M21" s="59">
        <v>0.49305555555555558</v>
      </c>
      <c r="N21" s="41">
        <v>10</v>
      </c>
      <c r="O21" s="76">
        <f t="shared" si="0"/>
        <v>15.8</v>
      </c>
    </row>
    <row r="22" spans="1:18" x14ac:dyDescent="0.25">
      <c r="A22" s="41">
        <v>1</v>
      </c>
      <c r="B22" s="41">
        <v>819</v>
      </c>
      <c r="C22" s="250">
        <v>43174</v>
      </c>
      <c r="D22" s="41" t="s">
        <v>1797</v>
      </c>
      <c r="E22" s="41" t="s">
        <v>532</v>
      </c>
      <c r="F22" s="41" t="s">
        <v>406</v>
      </c>
      <c r="I22" s="41" t="s">
        <v>406</v>
      </c>
      <c r="K22" s="41" t="s">
        <v>1897</v>
      </c>
      <c r="N22" s="41">
        <v>20</v>
      </c>
      <c r="O22" s="76">
        <f t="shared" si="0"/>
        <v>16.133333333333333</v>
      </c>
    </row>
    <row r="23" spans="1:18" x14ac:dyDescent="0.25">
      <c r="A23" s="41">
        <v>1</v>
      </c>
      <c r="B23" s="41">
        <v>820</v>
      </c>
      <c r="C23" s="250">
        <v>43174</v>
      </c>
      <c r="D23" s="41" t="s">
        <v>1797</v>
      </c>
      <c r="E23" s="41" t="s">
        <v>532</v>
      </c>
      <c r="F23" s="41" t="s">
        <v>406</v>
      </c>
      <c r="I23" s="41" t="s">
        <v>406</v>
      </c>
      <c r="K23" s="41" t="s">
        <v>1897</v>
      </c>
      <c r="N23" s="41">
        <v>20</v>
      </c>
      <c r="O23" s="76">
        <f t="shared" si="0"/>
        <v>16.466666666666665</v>
      </c>
    </row>
    <row r="24" spans="1:18" x14ac:dyDescent="0.25">
      <c r="A24" s="41">
        <v>1</v>
      </c>
      <c r="B24" s="41">
        <v>821</v>
      </c>
      <c r="C24" s="250">
        <v>43189</v>
      </c>
      <c r="D24" s="41" t="s">
        <v>1797</v>
      </c>
      <c r="E24" s="41" t="s">
        <v>532</v>
      </c>
      <c r="F24" s="41" t="s">
        <v>406</v>
      </c>
      <c r="I24" s="41" t="s">
        <v>406</v>
      </c>
      <c r="N24" s="41">
        <v>2</v>
      </c>
      <c r="O24" s="76">
        <f t="shared" si="0"/>
        <v>16.5</v>
      </c>
    </row>
    <row r="25" spans="1:18" x14ac:dyDescent="0.25">
      <c r="A25" s="41">
        <v>1</v>
      </c>
      <c r="B25" s="41">
        <v>822</v>
      </c>
      <c r="C25" s="250">
        <v>43189</v>
      </c>
      <c r="D25" s="41" t="s">
        <v>1797</v>
      </c>
      <c r="E25" s="41" t="s">
        <v>532</v>
      </c>
      <c r="F25" s="41" t="s">
        <v>406</v>
      </c>
      <c r="I25" s="41" t="s">
        <v>406</v>
      </c>
      <c r="N25" s="41">
        <v>2</v>
      </c>
      <c r="O25" s="76">
        <f t="shared" si="0"/>
        <v>16.533333333333335</v>
      </c>
    </row>
    <row r="26" spans="1:18" x14ac:dyDescent="0.25">
      <c r="A26" s="41">
        <v>1</v>
      </c>
      <c r="B26" s="41">
        <v>823</v>
      </c>
      <c r="C26" s="250">
        <v>43189</v>
      </c>
      <c r="D26" s="41" t="s">
        <v>1797</v>
      </c>
      <c r="E26" s="41" t="s">
        <v>532</v>
      </c>
      <c r="F26" s="41" t="s">
        <v>406</v>
      </c>
      <c r="I26" s="41" t="s">
        <v>406</v>
      </c>
      <c r="N26" s="41">
        <v>12</v>
      </c>
      <c r="O26" s="76">
        <f t="shared" si="0"/>
        <v>16.733333333333334</v>
      </c>
    </row>
    <row r="27" spans="1:18" ht="41.4" x14ac:dyDescent="0.25">
      <c r="A27" s="41">
        <v>1</v>
      </c>
      <c r="B27" s="41">
        <v>824</v>
      </c>
      <c r="C27" s="250">
        <v>43191</v>
      </c>
      <c r="D27" s="41" t="s">
        <v>1797</v>
      </c>
      <c r="E27" s="41" t="s">
        <v>532</v>
      </c>
      <c r="F27" s="41" t="s">
        <v>1650</v>
      </c>
      <c r="I27" s="41" t="s">
        <v>1650</v>
      </c>
      <c r="K27" s="41" t="s">
        <v>1898</v>
      </c>
      <c r="M27" s="59">
        <v>0.5</v>
      </c>
      <c r="N27" s="41">
        <v>170</v>
      </c>
      <c r="O27" s="76">
        <f t="shared" si="0"/>
        <v>19.566666666666666</v>
      </c>
      <c r="Q27" s="43" t="s">
        <v>1900</v>
      </c>
    </row>
    <row r="28" spans="1:18" ht="21" x14ac:dyDescent="0.25">
      <c r="A28" s="41">
        <v>1</v>
      </c>
      <c r="B28" s="41">
        <v>825</v>
      </c>
      <c r="C28" s="250">
        <v>43192</v>
      </c>
      <c r="D28" s="41" t="s">
        <v>1797</v>
      </c>
      <c r="E28" s="41" t="s">
        <v>532</v>
      </c>
      <c r="F28" s="41" t="s">
        <v>1650</v>
      </c>
      <c r="I28" s="41" t="s">
        <v>1650</v>
      </c>
      <c r="K28" s="41" t="s">
        <v>1899</v>
      </c>
      <c r="M28" s="59">
        <v>0.66666666666666663</v>
      </c>
      <c r="N28" s="41">
        <v>12</v>
      </c>
      <c r="O28" s="76">
        <f t="shared" si="0"/>
        <v>19.766666666666666</v>
      </c>
      <c r="Q28" s="43" t="s">
        <v>1901</v>
      </c>
    </row>
    <row r="29" spans="1:18" ht="41.4" x14ac:dyDescent="0.25">
      <c r="A29" s="41">
        <v>1</v>
      </c>
      <c r="B29" s="41">
        <v>826</v>
      </c>
      <c r="C29" s="250">
        <v>43195</v>
      </c>
      <c r="D29" s="41" t="s">
        <v>1797</v>
      </c>
      <c r="E29" s="41" t="s">
        <v>532</v>
      </c>
      <c r="F29" s="41" t="s">
        <v>1650</v>
      </c>
      <c r="I29" s="41" t="s">
        <v>1650</v>
      </c>
      <c r="K29" s="41" t="s">
        <v>1902</v>
      </c>
      <c r="M29" s="59">
        <v>0.5</v>
      </c>
      <c r="N29" s="41">
        <v>214</v>
      </c>
      <c r="O29" s="76">
        <f t="shared" si="0"/>
        <v>23.333333333333332</v>
      </c>
      <c r="P29" s="41">
        <v>23</v>
      </c>
      <c r="Q29" s="43" t="s">
        <v>1903</v>
      </c>
    </row>
    <row r="30" spans="1:18" x14ac:dyDescent="0.25">
      <c r="A30" s="41">
        <v>1</v>
      </c>
      <c r="B30" s="41">
        <v>827</v>
      </c>
      <c r="C30" s="250">
        <v>43196</v>
      </c>
      <c r="D30" s="41" t="s">
        <v>1797</v>
      </c>
      <c r="E30" s="41" t="s">
        <v>532</v>
      </c>
      <c r="F30" s="41" t="s">
        <v>1650</v>
      </c>
      <c r="I30" s="41" t="s">
        <v>1650</v>
      </c>
      <c r="K30" s="41" t="s">
        <v>1905</v>
      </c>
      <c r="M30" s="59">
        <v>0.47916666666666669</v>
      </c>
      <c r="N30" s="41">
        <v>5</v>
      </c>
      <c r="O30" s="76">
        <f t="shared" si="0"/>
        <v>23.416666666666664</v>
      </c>
      <c r="Q30" s="43" t="s">
        <v>1906</v>
      </c>
      <c r="R30" s="41" t="s">
        <v>1907</v>
      </c>
    </row>
    <row r="31" spans="1:18" x14ac:dyDescent="0.25">
      <c r="A31" s="41">
        <v>1</v>
      </c>
      <c r="B31" s="41">
        <v>828</v>
      </c>
      <c r="C31" s="250">
        <v>43204</v>
      </c>
      <c r="D31" s="41" t="s">
        <v>1797</v>
      </c>
      <c r="E31" s="41" t="s">
        <v>532</v>
      </c>
      <c r="F31" s="41" t="s">
        <v>1650</v>
      </c>
      <c r="G31" s="41" t="s">
        <v>1830</v>
      </c>
      <c r="H31" s="41">
        <v>400</v>
      </c>
      <c r="I31" s="41" t="s">
        <v>1650</v>
      </c>
      <c r="K31" s="41" t="s">
        <v>1908</v>
      </c>
      <c r="M31" s="59">
        <v>0.4375</v>
      </c>
      <c r="N31" s="41">
        <v>15</v>
      </c>
      <c r="O31" s="76">
        <f t="shared" si="0"/>
        <v>23.666666666666664</v>
      </c>
      <c r="Q31" s="43" t="s">
        <v>1911</v>
      </c>
    </row>
    <row r="32" spans="1:18" ht="21" x14ac:dyDescent="0.25">
      <c r="A32" s="41">
        <v>1</v>
      </c>
      <c r="B32" s="41">
        <v>829</v>
      </c>
      <c r="C32" s="250">
        <v>43204</v>
      </c>
      <c r="D32" s="41" t="s">
        <v>1797</v>
      </c>
      <c r="E32" s="41" t="s">
        <v>532</v>
      </c>
      <c r="F32" s="41" t="s">
        <v>1650</v>
      </c>
      <c r="I32" s="41" t="s">
        <v>1650</v>
      </c>
      <c r="K32" s="41" t="s">
        <v>1908</v>
      </c>
      <c r="M32" s="59">
        <v>0.60416666666666663</v>
      </c>
      <c r="N32" s="41">
        <v>80</v>
      </c>
      <c r="O32" s="76">
        <f t="shared" si="0"/>
        <v>24.999999999999996</v>
      </c>
      <c r="Q32" s="43" t="s">
        <v>1912</v>
      </c>
    </row>
    <row r="33" spans="1:17" ht="82.2" x14ac:dyDescent="0.25">
      <c r="A33" s="41">
        <v>1</v>
      </c>
      <c r="B33" s="41">
        <v>830</v>
      </c>
      <c r="C33" s="250">
        <v>43205</v>
      </c>
      <c r="D33" s="41" t="s">
        <v>1797</v>
      </c>
      <c r="E33" s="41" t="s">
        <v>532</v>
      </c>
      <c r="F33" s="41" t="s">
        <v>1650</v>
      </c>
      <c r="I33" s="41" t="s">
        <v>1650</v>
      </c>
      <c r="J33" s="41" t="s">
        <v>1910</v>
      </c>
      <c r="K33" s="41" t="s">
        <v>1909</v>
      </c>
      <c r="M33" s="59">
        <v>0.51041666666666663</v>
      </c>
      <c r="N33" s="41">
        <v>68</v>
      </c>
      <c r="O33" s="76">
        <f t="shared" si="0"/>
        <v>26.133333333333329</v>
      </c>
      <c r="Q33" s="43" t="s">
        <v>1913</v>
      </c>
    </row>
    <row r="34" spans="1:17" hidden="1" x14ac:dyDescent="0.25">
      <c r="A34" s="41">
        <v>1</v>
      </c>
      <c r="B34" s="41">
        <v>831</v>
      </c>
      <c r="C34" s="250">
        <v>43207</v>
      </c>
      <c r="D34" s="41" t="s">
        <v>1914</v>
      </c>
      <c r="E34" s="41" t="s">
        <v>532</v>
      </c>
      <c r="F34" s="41" t="s">
        <v>1650</v>
      </c>
      <c r="I34" s="41" t="s">
        <v>1650</v>
      </c>
      <c r="J34" s="41" t="s">
        <v>1182</v>
      </c>
      <c r="M34" s="59">
        <v>0.4916666666666667</v>
      </c>
      <c r="N34" s="41">
        <v>252</v>
      </c>
      <c r="O34" s="76">
        <f t="shared" si="0"/>
        <v>30.333333333333329</v>
      </c>
      <c r="P34" s="41">
        <v>45</v>
      </c>
    </row>
    <row r="35" spans="1:17" x14ac:dyDescent="0.25">
      <c r="A35" s="41">
        <v>1</v>
      </c>
      <c r="B35" s="41">
        <v>832</v>
      </c>
      <c r="C35" s="250">
        <v>43208</v>
      </c>
      <c r="D35" s="41" t="s">
        <v>1797</v>
      </c>
      <c r="E35" s="41" t="s">
        <v>532</v>
      </c>
      <c r="F35" s="41" t="s">
        <v>1650</v>
      </c>
      <c r="I35" s="41" t="s">
        <v>1650</v>
      </c>
      <c r="M35" s="59">
        <v>0.4777777777777778</v>
      </c>
      <c r="N35" s="41">
        <v>202</v>
      </c>
      <c r="O35" s="76">
        <f t="shared" si="0"/>
        <v>33.699999999999996</v>
      </c>
    </row>
    <row r="36" spans="1:17" ht="31.2" x14ac:dyDescent="0.25">
      <c r="A36" s="41">
        <v>1</v>
      </c>
      <c r="B36" s="41">
        <v>833</v>
      </c>
      <c r="C36" s="250">
        <v>43209</v>
      </c>
      <c r="D36" s="41" t="s">
        <v>1797</v>
      </c>
      <c r="E36" s="41" t="s">
        <v>532</v>
      </c>
      <c r="F36" s="41" t="s">
        <v>1650</v>
      </c>
      <c r="I36" s="41" t="s">
        <v>1650</v>
      </c>
      <c r="J36" s="41" t="s">
        <v>1182</v>
      </c>
      <c r="K36" s="41" t="s">
        <v>1916</v>
      </c>
      <c r="M36" s="59">
        <v>0.47291666666666665</v>
      </c>
      <c r="N36" s="41">
        <v>258</v>
      </c>
      <c r="O36" s="76">
        <f t="shared" si="0"/>
        <v>37.999999999999993</v>
      </c>
      <c r="P36" s="41">
        <v>34</v>
      </c>
      <c r="Q36" s="43" t="s">
        <v>2055</v>
      </c>
    </row>
    <row r="37" spans="1:17" ht="51.6" x14ac:dyDescent="0.25">
      <c r="A37" s="41">
        <v>1</v>
      </c>
      <c r="B37" s="41">
        <v>834</v>
      </c>
      <c r="C37" s="250">
        <v>43210</v>
      </c>
      <c r="D37" s="41" t="s">
        <v>1797</v>
      </c>
      <c r="E37" s="41" t="s">
        <v>532</v>
      </c>
      <c r="F37" s="41" t="s">
        <v>1650</v>
      </c>
      <c r="I37" s="41" t="s">
        <v>1915</v>
      </c>
      <c r="J37" s="41" t="s">
        <v>1182</v>
      </c>
      <c r="K37" s="41" t="s">
        <v>1916</v>
      </c>
      <c r="M37" s="59">
        <v>0.47013888888888888</v>
      </c>
      <c r="N37" s="41">
        <v>259</v>
      </c>
      <c r="O37" s="76">
        <f t="shared" si="0"/>
        <v>42.316666666666663</v>
      </c>
      <c r="P37" s="41">
        <v>68</v>
      </c>
      <c r="Q37" s="43" t="s">
        <v>1917</v>
      </c>
    </row>
    <row r="38" spans="1:17" hidden="1" x14ac:dyDescent="0.25">
      <c r="A38" s="41">
        <v>1</v>
      </c>
      <c r="B38" s="41">
        <v>835</v>
      </c>
      <c r="C38" s="250">
        <v>43222</v>
      </c>
      <c r="D38" s="41" t="s">
        <v>149</v>
      </c>
      <c r="E38" s="41" t="s">
        <v>532</v>
      </c>
      <c r="F38" s="41" t="s">
        <v>1650</v>
      </c>
      <c r="I38" s="41" t="s">
        <v>1650</v>
      </c>
      <c r="J38" s="41" t="s">
        <v>1925</v>
      </c>
      <c r="N38" s="41">
        <v>15</v>
      </c>
      <c r="O38" s="76">
        <f t="shared" si="0"/>
        <v>42.566666666666663</v>
      </c>
      <c r="Q38" s="43" t="s">
        <v>1920</v>
      </c>
    </row>
    <row r="39" spans="1:17" hidden="1" x14ac:dyDescent="0.25">
      <c r="A39" s="41">
        <v>1</v>
      </c>
      <c r="B39" s="41">
        <v>836</v>
      </c>
      <c r="C39" s="250">
        <v>43226</v>
      </c>
      <c r="D39" s="41" t="s">
        <v>1918</v>
      </c>
      <c r="E39" s="41" t="s">
        <v>532</v>
      </c>
      <c r="F39" s="41" t="s">
        <v>1650</v>
      </c>
      <c r="I39" s="41" t="s">
        <v>1650</v>
      </c>
      <c r="J39" s="41" t="s">
        <v>1925</v>
      </c>
      <c r="N39" s="41">
        <v>12</v>
      </c>
      <c r="O39" s="76">
        <f t="shared" si="0"/>
        <v>42.766666666666666</v>
      </c>
      <c r="Q39" s="43" t="s">
        <v>1921</v>
      </c>
    </row>
    <row r="40" spans="1:17" hidden="1" x14ac:dyDescent="0.25">
      <c r="A40" s="41">
        <v>1</v>
      </c>
      <c r="B40" s="41">
        <v>837</v>
      </c>
      <c r="C40" s="250">
        <v>43226</v>
      </c>
      <c r="D40" s="41" t="s">
        <v>1918</v>
      </c>
      <c r="E40" s="41" t="s">
        <v>532</v>
      </c>
      <c r="F40" s="41" t="s">
        <v>1650</v>
      </c>
      <c r="I40" s="41" t="s">
        <v>1650</v>
      </c>
      <c r="J40" s="41" t="s">
        <v>1925</v>
      </c>
      <c r="N40" s="41">
        <v>12</v>
      </c>
      <c r="O40" s="76">
        <f t="shared" si="0"/>
        <v>42.966666666666669</v>
      </c>
      <c r="Q40" s="43" t="s">
        <v>1921</v>
      </c>
    </row>
    <row r="41" spans="1:17" hidden="1" x14ac:dyDescent="0.25">
      <c r="A41" s="41">
        <v>1</v>
      </c>
      <c r="B41" s="41">
        <v>838</v>
      </c>
      <c r="C41" s="250">
        <v>43227</v>
      </c>
      <c r="D41" s="41" t="s">
        <v>1919</v>
      </c>
      <c r="E41" s="41" t="s">
        <v>532</v>
      </c>
      <c r="F41" s="41" t="s">
        <v>1650</v>
      </c>
      <c r="I41" s="41" t="s">
        <v>1650</v>
      </c>
      <c r="N41" s="41">
        <v>44</v>
      </c>
      <c r="O41" s="76">
        <f t="shared" si="0"/>
        <v>43.7</v>
      </c>
      <c r="Q41" s="43" t="s">
        <v>1922</v>
      </c>
    </row>
    <row r="42" spans="1:17" x14ac:dyDescent="0.25">
      <c r="A42" s="41">
        <v>1</v>
      </c>
      <c r="B42" s="41">
        <v>839</v>
      </c>
      <c r="C42" s="250">
        <v>43243</v>
      </c>
      <c r="D42" s="41" t="s">
        <v>1797</v>
      </c>
      <c r="E42" s="41" t="s">
        <v>532</v>
      </c>
      <c r="F42" s="41" t="s">
        <v>1650</v>
      </c>
      <c r="I42" s="41" t="s">
        <v>1650</v>
      </c>
      <c r="M42" s="59">
        <v>0.45833333333333331</v>
      </c>
      <c r="N42" s="41">
        <v>78</v>
      </c>
      <c r="O42" s="76">
        <f t="shared" si="0"/>
        <v>45</v>
      </c>
      <c r="Q42" s="43" t="s">
        <v>1923</v>
      </c>
    </row>
    <row r="43" spans="1:17" hidden="1" x14ac:dyDescent="0.25">
      <c r="A43" s="41">
        <v>1</v>
      </c>
      <c r="B43" s="41">
        <v>840</v>
      </c>
      <c r="C43" s="250">
        <v>43253</v>
      </c>
      <c r="D43" s="41" t="s">
        <v>1924</v>
      </c>
      <c r="E43" s="41" t="s">
        <v>532</v>
      </c>
      <c r="F43" s="41" t="s">
        <v>1650</v>
      </c>
      <c r="I43" s="41" t="s">
        <v>1650</v>
      </c>
      <c r="J43" s="41" t="s">
        <v>1925</v>
      </c>
      <c r="M43" s="59">
        <v>0.41666666666666669</v>
      </c>
      <c r="N43" s="41">
        <v>10</v>
      </c>
      <c r="O43" s="76">
        <f t="shared" si="0"/>
        <v>45.166666666666664</v>
      </c>
      <c r="Q43" s="43" t="s">
        <v>1926</v>
      </c>
    </row>
    <row r="44" spans="1:17" hidden="1" x14ac:dyDescent="0.25">
      <c r="A44" s="41">
        <v>1</v>
      </c>
      <c r="B44" s="41">
        <v>841</v>
      </c>
      <c r="C44" s="250">
        <v>43253</v>
      </c>
      <c r="D44" s="41" t="s">
        <v>1924</v>
      </c>
      <c r="E44" s="41" t="s">
        <v>532</v>
      </c>
      <c r="F44" s="41" t="s">
        <v>1650</v>
      </c>
      <c r="I44" s="41" t="s">
        <v>1650</v>
      </c>
      <c r="J44" s="41" t="s">
        <v>1925</v>
      </c>
      <c r="M44" s="59">
        <v>0.45833333333333331</v>
      </c>
      <c r="N44" s="41">
        <v>15</v>
      </c>
      <c r="O44" s="76">
        <f t="shared" si="0"/>
        <v>45.416666666666664</v>
      </c>
      <c r="Q44" s="43" t="s">
        <v>1927</v>
      </c>
    </row>
    <row r="45" spans="1:17" hidden="1" x14ac:dyDescent="0.25">
      <c r="A45" s="41">
        <v>1</v>
      </c>
      <c r="B45" s="41">
        <v>842</v>
      </c>
      <c r="C45" s="250">
        <v>43253</v>
      </c>
      <c r="D45" s="41" t="s">
        <v>1924</v>
      </c>
      <c r="E45" s="41" t="s">
        <v>532</v>
      </c>
      <c r="F45" s="41" t="s">
        <v>1650</v>
      </c>
      <c r="I45" s="41" t="s">
        <v>1650</v>
      </c>
      <c r="J45" s="41" t="s">
        <v>1925</v>
      </c>
      <c r="M45" s="59">
        <v>0.5</v>
      </c>
      <c r="N45" s="41">
        <v>20</v>
      </c>
      <c r="O45" s="76">
        <f t="shared" si="0"/>
        <v>45.75</v>
      </c>
      <c r="Q45" s="43" t="s">
        <v>1928</v>
      </c>
    </row>
    <row r="46" spans="1:17" x14ac:dyDescent="0.25">
      <c r="A46" s="41">
        <v>1</v>
      </c>
      <c r="B46" s="41">
        <v>843</v>
      </c>
      <c r="C46" s="250">
        <v>43259</v>
      </c>
      <c r="D46" s="41" t="s">
        <v>1797</v>
      </c>
      <c r="E46" s="41" t="s">
        <v>532</v>
      </c>
      <c r="F46" s="41" t="s">
        <v>1650</v>
      </c>
      <c r="I46" s="41" t="s">
        <v>1650</v>
      </c>
      <c r="M46" s="59">
        <v>0.47569444444444442</v>
      </c>
      <c r="N46" s="41">
        <v>100</v>
      </c>
      <c r="O46" s="76">
        <f t="shared" si="0"/>
        <v>47.416666666666664</v>
      </c>
      <c r="Q46" s="43" t="s">
        <v>1929</v>
      </c>
    </row>
    <row r="47" spans="1:17" x14ac:dyDescent="0.25">
      <c r="A47" s="41">
        <v>1</v>
      </c>
      <c r="B47" s="41">
        <v>844</v>
      </c>
      <c r="C47" s="250">
        <v>43267</v>
      </c>
      <c r="D47" s="41" t="s">
        <v>1797</v>
      </c>
      <c r="E47" s="41" t="s">
        <v>1932</v>
      </c>
      <c r="F47" s="41" t="s">
        <v>1941</v>
      </c>
      <c r="I47" s="41" t="s">
        <v>1941</v>
      </c>
      <c r="J47" s="41" t="s">
        <v>1910</v>
      </c>
      <c r="K47" s="41" t="s">
        <v>1933</v>
      </c>
      <c r="L47" s="41">
        <v>1850</v>
      </c>
      <c r="M47" s="59">
        <v>0.58611111111111114</v>
      </c>
      <c r="N47" s="41">
        <v>220</v>
      </c>
      <c r="O47" s="76">
        <f t="shared" si="0"/>
        <v>51.083333333333329</v>
      </c>
      <c r="Q47" s="43" t="s">
        <v>1937</v>
      </c>
    </row>
    <row r="48" spans="1:17" x14ac:dyDescent="0.25">
      <c r="A48" s="41">
        <v>1</v>
      </c>
      <c r="B48" s="41">
        <v>845</v>
      </c>
      <c r="C48" s="250">
        <v>43269</v>
      </c>
      <c r="D48" s="41" t="s">
        <v>1797</v>
      </c>
      <c r="E48" s="41" t="s">
        <v>1932</v>
      </c>
      <c r="F48" s="41" t="s">
        <v>1663</v>
      </c>
      <c r="I48" s="41" t="s">
        <v>1663</v>
      </c>
      <c r="L48" s="41">
        <v>1530</v>
      </c>
      <c r="M48" s="59">
        <v>0.47222222222222227</v>
      </c>
      <c r="N48" s="41">
        <v>72</v>
      </c>
      <c r="O48" s="76">
        <f t="shared" si="0"/>
        <v>52.283333333333331</v>
      </c>
      <c r="Q48" s="43" t="s">
        <v>1938</v>
      </c>
    </row>
    <row r="49" spans="1:17" x14ac:dyDescent="0.25">
      <c r="A49" s="41">
        <v>1</v>
      </c>
      <c r="B49" s="41">
        <v>846</v>
      </c>
      <c r="C49" s="250">
        <v>43270</v>
      </c>
      <c r="D49" s="41" t="s">
        <v>1797</v>
      </c>
      <c r="E49" s="41" t="s">
        <v>1932</v>
      </c>
      <c r="F49" s="41" t="s">
        <v>1664</v>
      </c>
      <c r="I49" s="41" t="s">
        <v>1664</v>
      </c>
      <c r="M49" s="59">
        <v>0.76388888888888884</v>
      </c>
      <c r="N49" s="41">
        <v>59</v>
      </c>
      <c r="O49" s="76">
        <f t="shared" si="0"/>
        <v>53.266666666666666</v>
      </c>
      <c r="Q49" s="43" t="s">
        <v>1934</v>
      </c>
    </row>
    <row r="50" spans="1:17" ht="31.2" x14ac:dyDescent="0.25">
      <c r="A50" s="41">
        <v>1</v>
      </c>
      <c r="B50" s="41">
        <v>847</v>
      </c>
      <c r="C50" s="250">
        <v>43271</v>
      </c>
      <c r="D50" s="41" t="s">
        <v>1797</v>
      </c>
      <c r="E50" s="41" t="s">
        <v>1932</v>
      </c>
      <c r="F50" s="41" t="s">
        <v>1935</v>
      </c>
      <c r="L50" s="41">
        <v>2770</v>
      </c>
      <c r="M50" s="59">
        <v>0.50624999999999998</v>
      </c>
      <c r="N50" s="41">
        <v>81</v>
      </c>
      <c r="O50" s="76">
        <f t="shared" si="0"/>
        <v>54.616666666666667</v>
      </c>
      <c r="P50" s="41">
        <v>15</v>
      </c>
      <c r="Q50" s="43" t="s">
        <v>1939</v>
      </c>
    </row>
    <row r="51" spans="1:17" x14ac:dyDescent="0.25">
      <c r="A51" s="41">
        <v>1</v>
      </c>
      <c r="B51" s="41">
        <v>848</v>
      </c>
      <c r="C51" s="250">
        <v>43272</v>
      </c>
      <c r="D51" s="41" t="s">
        <v>1797</v>
      </c>
      <c r="E51" s="41" t="s">
        <v>1932</v>
      </c>
      <c r="F51" s="41" t="s">
        <v>1807</v>
      </c>
      <c r="I51" s="41" t="s">
        <v>1936</v>
      </c>
      <c r="J51" s="41" t="s">
        <v>1182</v>
      </c>
      <c r="L51" s="41">
        <v>2880</v>
      </c>
      <c r="M51" s="59">
        <v>0.60972222222222217</v>
      </c>
      <c r="N51" s="41">
        <v>115</v>
      </c>
      <c r="O51" s="76">
        <f t="shared" si="0"/>
        <v>56.533333333333331</v>
      </c>
      <c r="P51" s="41">
        <v>25</v>
      </c>
      <c r="Q51" s="43" t="s">
        <v>1940</v>
      </c>
    </row>
    <row r="52" spans="1:17" x14ac:dyDescent="0.25">
      <c r="A52" s="41">
        <v>1</v>
      </c>
      <c r="B52" s="41">
        <v>849</v>
      </c>
      <c r="C52" s="250">
        <v>43276</v>
      </c>
      <c r="D52" s="41" t="s">
        <v>1797</v>
      </c>
      <c r="E52" s="41" t="s">
        <v>1932</v>
      </c>
      <c r="F52" s="41" t="s">
        <v>1663</v>
      </c>
      <c r="I52" s="41" t="s">
        <v>1663</v>
      </c>
      <c r="J52" s="41" t="s">
        <v>1182</v>
      </c>
      <c r="M52" s="59">
        <v>0.4548611111111111</v>
      </c>
      <c r="N52" s="41">
        <v>182</v>
      </c>
      <c r="O52" s="76">
        <f t="shared" si="0"/>
        <v>59.566666666666663</v>
      </c>
      <c r="P52" s="41">
        <v>20</v>
      </c>
    </row>
    <row r="53" spans="1:17" ht="51.6" x14ac:dyDescent="0.25">
      <c r="A53" s="41">
        <v>1</v>
      </c>
      <c r="B53" s="41">
        <v>850</v>
      </c>
      <c r="C53" s="250">
        <v>43277</v>
      </c>
      <c r="D53" s="41" t="s">
        <v>1797</v>
      </c>
      <c r="E53" s="41" t="s">
        <v>1932</v>
      </c>
      <c r="F53" s="41" t="s">
        <v>1663</v>
      </c>
      <c r="I53" s="41" t="s">
        <v>1664</v>
      </c>
      <c r="J53" s="41" t="s">
        <v>1182</v>
      </c>
      <c r="L53" s="41">
        <v>2255</v>
      </c>
      <c r="M53" s="59">
        <v>0.50694444444444442</v>
      </c>
      <c r="N53" s="41">
        <v>230</v>
      </c>
      <c r="O53" s="76">
        <f t="shared" si="0"/>
        <v>63.4</v>
      </c>
      <c r="P53" s="41">
        <v>46</v>
      </c>
      <c r="Q53" s="43" t="s">
        <v>1943</v>
      </c>
    </row>
    <row r="54" spans="1:17" x14ac:dyDescent="0.25">
      <c r="A54" s="41">
        <v>1</v>
      </c>
      <c r="B54" s="41">
        <v>851</v>
      </c>
      <c r="C54" s="250">
        <v>43312</v>
      </c>
      <c r="D54" s="41" t="s">
        <v>1797</v>
      </c>
      <c r="E54" s="41" t="s">
        <v>1930</v>
      </c>
      <c r="F54" s="41" t="s">
        <v>1931</v>
      </c>
      <c r="I54" s="41" t="s">
        <v>1931</v>
      </c>
      <c r="M54" s="59">
        <v>0.45833333333333331</v>
      </c>
      <c r="N54" s="41">
        <v>11</v>
      </c>
      <c r="O54" s="76">
        <f t="shared" si="0"/>
        <v>63.583333333333329</v>
      </c>
    </row>
    <row r="55" spans="1:17" x14ac:dyDescent="0.25">
      <c r="A55" s="41">
        <v>1</v>
      </c>
      <c r="B55" s="41">
        <v>852</v>
      </c>
      <c r="C55" s="250">
        <v>43314</v>
      </c>
      <c r="D55" s="41" t="s">
        <v>1797</v>
      </c>
      <c r="E55" s="41" t="s">
        <v>532</v>
      </c>
      <c r="F55" s="41" t="s">
        <v>1650</v>
      </c>
      <c r="I55" s="41" t="s">
        <v>1650</v>
      </c>
      <c r="N55" s="41">
        <v>21</v>
      </c>
      <c r="O55" s="76">
        <f t="shared" si="0"/>
        <v>63.93333333333333</v>
      </c>
    </row>
    <row r="56" spans="1:17" x14ac:dyDescent="0.25">
      <c r="A56" s="41">
        <v>1</v>
      </c>
      <c r="B56" s="41">
        <v>853</v>
      </c>
      <c r="C56" s="250">
        <v>43315</v>
      </c>
      <c r="D56" s="41" t="s">
        <v>1797</v>
      </c>
      <c r="E56" s="41" t="s">
        <v>532</v>
      </c>
      <c r="F56" s="41" t="s">
        <v>1650</v>
      </c>
      <c r="I56" s="41" t="s">
        <v>1650</v>
      </c>
      <c r="M56" s="59">
        <v>0.51736111111111105</v>
      </c>
      <c r="N56" s="41">
        <v>85</v>
      </c>
      <c r="O56" s="76">
        <f t="shared" si="0"/>
        <v>65.349999999999994</v>
      </c>
    </row>
    <row r="57" spans="1:17" ht="21" x14ac:dyDescent="0.25">
      <c r="A57" s="41">
        <v>1</v>
      </c>
      <c r="B57" s="41">
        <v>854</v>
      </c>
      <c r="C57" s="250">
        <v>43315</v>
      </c>
      <c r="D57" s="41" t="s">
        <v>1797</v>
      </c>
      <c r="E57" s="41" t="s">
        <v>532</v>
      </c>
      <c r="F57" s="41" t="s">
        <v>1650</v>
      </c>
      <c r="I57" s="41" t="s">
        <v>1650</v>
      </c>
      <c r="M57" s="59">
        <v>0.5</v>
      </c>
      <c r="N57" s="41">
        <v>156</v>
      </c>
      <c r="O57" s="76">
        <f t="shared" si="0"/>
        <v>67.949999999999989</v>
      </c>
      <c r="P57" s="41">
        <v>21</v>
      </c>
      <c r="Q57" s="43" t="s">
        <v>1942</v>
      </c>
    </row>
    <row r="58" spans="1:17" x14ac:dyDescent="0.25">
      <c r="A58" s="41">
        <v>1</v>
      </c>
      <c r="B58" s="41">
        <v>855</v>
      </c>
      <c r="C58" s="250">
        <v>43353</v>
      </c>
      <c r="D58" s="41" t="s">
        <v>1797</v>
      </c>
      <c r="E58" s="41" t="s">
        <v>532</v>
      </c>
      <c r="F58" s="41" t="s">
        <v>1650</v>
      </c>
      <c r="I58" s="41" t="s">
        <v>1650</v>
      </c>
      <c r="N58" s="41">
        <v>18</v>
      </c>
      <c r="O58" s="76">
        <f t="shared" si="0"/>
        <v>68.249999999999986</v>
      </c>
      <c r="Q58" s="43" t="s">
        <v>1944</v>
      </c>
    </row>
    <row r="59" spans="1:17" x14ac:dyDescent="0.25">
      <c r="A59" s="41">
        <v>1</v>
      </c>
      <c r="B59" s="41">
        <v>856</v>
      </c>
      <c r="C59" s="250">
        <v>43353</v>
      </c>
      <c r="D59" s="41" t="s">
        <v>1797</v>
      </c>
      <c r="E59" s="41" t="s">
        <v>532</v>
      </c>
      <c r="F59" s="41" t="s">
        <v>1650</v>
      </c>
      <c r="I59" s="41" t="s">
        <v>1650</v>
      </c>
      <c r="N59" s="41">
        <v>25</v>
      </c>
      <c r="O59" s="76">
        <f t="shared" si="0"/>
        <v>68.666666666666657</v>
      </c>
      <c r="Q59" s="43" t="s">
        <v>1945</v>
      </c>
    </row>
    <row r="60" spans="1:17" ht="31.2" x14ac:dyDescent="0.25">
      <c r="A60" s="41">
        <v>1</v>
      </c>
      <c r="B60" s="41">
        <v>857</v>
      </c>
      <c r="C60" s="250">
        <v>43354</v>
      </c>
      <c r="D60" s="41" t="s">
        <v>1797</v>
      </c>
      <c r="E60" s="41" t="s">
        <v>532</v>
      </c>
      <c r="F60" s="41" t="s">
        <v>1650</v>
      </c>
      <c r="I60" s="41" t="s">
        <v>1650</v>
      </c>
      <c r="N60" s="41">
        <v>100</v>
      </c>
      <c r="O60" s="76">
        <f t="shared" si="0"/>
        <v>70.333333333333329</v>
      </c>
      <c r="Q60" s="43" t="s">
        <v>1946</v>
      </c>
    </row>
    <row r="61" spans="1:17" ht="61.8" x14ac:dyDescent="0.25">
      <c r="A61" s="41">
        <v>1</v>
      </c>
      <c r="B61" s="41">
        <v>858</v>
      </c>
      <c r="C61" s="250">
        <v>43357</v>
      </c>
      <c r="D61" s="41" t="s">
        <v>1797</v>
      </c>
      <c r="E61" s="41" t="s">
        <v>748</v>
      </c>
      <c r="F61" s="41" t="s">
        <v>748</v>
      </c>
      <c r="I61" s="41" t="s">
        <v>748</v>
      </c>
      <c r="K61" s="41" t="s">
        <v>1949</v>
      </c>
      <c r="L61" s="41">
        <v>1780</v>
      </c>
      <c r="M61" s="59">
        <v>0.52083333333333337</v>
      </c>
      <c r="N61" s="41">
        <v>130</v>
      </c>
      <c r="O61" s="76">
        <f t="shared" si="0"/>
        <v>72.5</v>
      </c>
      <c r="Q61" s="43" t="s">
        <v>1952</v>
      </c>
    </row>
    <row r="62" spans="1:17" ht="21" x14ac:dyDescent="0.25">
      <c r="A62" s="41">
        <v>1</v>
      </c>
      <c r="B62" s="41">
        <v>859</v>
      </c>
      <c r="C62" s="250">
        <v>43357</v>
      </c>
      <c r="D62" s="41" t="s">
        <v>1797</v>
      </c>
      <c r="E62" s="41" t="s">
        <v>748</v>
      </c>
      <c r="F62" s="41" t="s">
        <v>748</v>
      </c>
      <c r="I62" s="41" t="s">
        <v>748</v>
      </c>
      <c r="K62" s="41" t="s">
        <v>1949</v>
      </c>
      <c r="L62" s="41">
        <v>1880</v>
      </c>
      <c r="M62" s="59">
        <v>0.63888888888888895</v>
      </c>
      <c r="N62" s="41">
        <v>37</v>
      </c>
      <c r="O62" s="76">
        <f t="shared" si="0"/>
        <v>73.11666666666666</v>
      </c>
      <c r="Q62" s="43" t="s">
        <v>1953</v>
      </c>
    </row>
    <row r="63" spans="1:17" x14ac:dyDescent="0.25">
      <c r="A63" s="41">
        <v>1</v>
      </c>
      <c r="B63" s="41">
        <v>860</v>
      </c>
      <c r="C63" s="250">
        <v>43358</v>
      </c>
      <c r="D63" s="41" t="s">
        <v>1797</v>
      </c>
      <c r="E63" s="41" t="s">
        <v>1932</v>
      </c>
      <c r="F63" s="41" t="s">
        <v>1663</v>
      </c>
      <c r="I63" s="41" t="s">
        <v>1663</v>
      </c>
      <c r="K63" s="41" t="s">
        <v>1950</v>
      </c>
      <c r="L63" s="41">
        <v>1340</v>
      </c>
      <c r="M63" s="59">
        <v>0.47916666666666669</v>
      </c>
      <c r="N63" s="41">
        <v>60</v>
      </c>
      <c r="O63" s="76">
        <f t="shared" si="0"/>
        <v>74.11666666666666</v>
      </c>
      <c r="Q63" s="43" t="s">
        <v>1954</v>
      </c>
    </row>
    <row r="64" spans="1:17" ht="41.4" x14ac:dyDescent="0.25">
      <c r="A64" s="41">
        <v>1</v>
      </c>
      <c r="B64" s="41">
        <v>861</v>
      </c>
      <c r="C64" s="250">
        <v>43358</v>
      </c>
      <c r="D64" s="41" t="s">
        <v>1797</v>
      </c>
      <c r="E64" s="41" t="s">
        <v>1932</v>
      </c>
      <c r="F64" s="41" t="s">
        <v>1947</v>
      </c>
      <c r="I64" s="41" t="s">
        <v>1947</v>
      </c>
      <c r="K64" s="41" t="s">
        <v>549</v>
      </c>
      <c r="M64" s="59">
        <v>0.70833333333333337</v>
      </c>
      <c r="N64" s="41">
        <v>5</v>
      </c>
      <c r="O64" s="76">
        <f t="shared" si="0"/>
        <v>74.199999999999989</v>
      </c>
      <c r="Q64" s="43" t="s">
        <v>1955</v>
      </c>
    </row>
    <row r="65" spans="1:17" ht="21" x14ac:dyDescent="0.25">
      <c r="A65" s="41">
        <v>5</v>
      </c>
      <c r="B65" s="41">
        <v>862</v>
      </c>
      <c r="C65" s="250">
        <v>43359</v>
      </c>
      <c r="D65" s="41" t="s">
        <v>1797</v>
      </c>
      <c r="E65" s="41" t="s">
        <v>1932</v>
      </c>
      <c r="F65" s="41" t="s">
        <v>1959</v>
      </c>
      <c r="I65" s="41" t="s">
        <v>1948</v>
      </c>
      <c r="K65" s="41" t="s">
        <v>1951</v>
      </c>
      <c r="M65" s="59">
        <v>0.51388888888888895</v>
      </c>
      <c r="N65" s="41">
        <v>78</v>
      </c>
      <c r="O65" s="76">
        <f t="shared" si="0"/>
        <v>75.499999999999986</v>
      </c>
      <c r="Q65" s="43" t="s">
        <v>1956</v>
      </c>
    </row>
    <row r="66" spans="1:17" x14ac:dyDescent="0.25">
      <c r="A66" s="41">
        <v>1</v>
      </c>
      <c r="B66" s="41">
        <v>863</v>
      </c>
      <c r="C66" s="250">
        <v>43359</v>
      </c>
      <c r="D66" s="41" t="s">
        <v>1797</v>
      </c>
      <c r="E66" s="41" t="s">
        <v>1932</v>
      </c>
      <c r="F66" s="41" t="s">
        <v>1959</v>
      </c>
      <c r="I66" s="41" t="s">
        <v>1948</v>
      </c>
      <c r="K66" s="41" t="s">
        <v>1951</v>
      </c>
      <c r="M66" s="59">
        <v>0.59375</v>
      </c>
      <c r="N66" s="41">
        <v>2</v>
      </c>
      <c r="O66" s="76">
        <f t="shared" si="0"/>
        <v>75.533333333333317</v>
      </c>
      <c r="Q66" s="43" t="s">
        <v>1957</v>
      </c>
    </row>
    <row r="67" spans="1:17" ht="51.6" x14ac:dyDescent="0.25">
      <c r="A67" s="41">
        <v>1</v>
      </c>
      <c r="B67" s="41">
        <v>864</v>
      </c>
      <c r="C67" s="250">
        <v>43359</v>
      </c>
      <c r="D67" s="41" t="s">
        <v>1797</v>
      </c>
      <c r="E67" s="41" t="s">
        <v>1932</v>
      </c>
      <c r="F67" s="41" t="s">
        <v>1959</v>
      </c>
      <c r="I67" s="41" t="s">
        <v>1948</v>
      </c>
      <c r="K67" s="41" t="s">
        <v>1951</v>
      </c>
      <c r="L67" s="41">
        <v>2440</v>
      </c>
      <c r="M67" s="59">
        <v>0.70486111111111116</v>
      </c>
      <c r="N67" s="41">
        <v>30</v>
      </c>
      <c r="O67" s="76">
        <f t="shared" ref="O67:O128" si="1">(O66+N67/60)</f>
        <v>76.033333333333317</v>
      </c>
      <c r="Q67" s="43" t="s">
        <v>1958</v>
      </c>
    </row>
    <row r="68" spans="1:17" ht="31.2" x14ac:dyDescent="0.25">
      <c r="A68" s="41">
        <v>1</v>
      </c>
      <c r="B68" s="41">
        <v>865</v>
      </c>
      <c r="C68" s="250">
        <v>43360</v>
      </c>
      <c r="D68" s="41" t="s">
        <v>1797</v>
      </c>
      <c r="E68" s="41" t="s">
        <v>1932</v>
      </c>
      <c r="F68" s="41" t="s">
        <v>668</v>
      </c>
      <c r="I68" s="41" t="s">
        <v>668</v>
      </c>
      <c r="K68" s="41" t="s">
        <v>1951</v>
      </c>
      <c r="M68" s="59">
        <v>0.50763888888888886</v>
      </c>
      <c r="N68" s="41">
        <v>19</v>
      </c>
      <c r="O68" s="76">
        <f t="shared" si="1"/>
        <v>76.34999999999998</v>
      </c>
      <c r="Q68" s="43" t="s">
        <v>1960</v>
      </c>
    </row>
    <row r="69" spans="1:17" ht="143.4" x14ac:dyDescent="0.25">
      <c r="A69" s="41">
        <v>1</v>
      </c>
      <c r="B69" s="41">
        <v>866</v>
      </c>
      <c r="C69" s="250">
        <v>43360</v>
      </c>
      <c r="D69" s="41" t="s">
        <v>1797</v>
      </c>
      <c r="E69" s="41" t="s">
        <v>1932</v>
      </c>
      <c r="F69" s="41" t="s">
        <v>668</v>
      </c>
      <c r="I69" s="41" t="s">
        <v>668</v>
      </c>
      <c r="J69" s="41" t="s">
        <v>1182</v>
      </c>
      <c r="K69" s="41" t="s">
        <v>1951</v>
      </c>
      <c r="L69" s="41">
        <v>2500</v>
      </c>
      <c r="M69" s="59">
        <v>0.58124999999999993</v>
      </c>
      <c r="N69" s="41">
        <v>142</v>
      </c>
      <c r="O69" s="76">
        <f t="shared" si="1"/>
        <v>78.71666666666664</v>
      </c>
      <c r="P69" s="41">
        <v>37</v>
      </c>
      <c r="Q69" s="43" t="s">
        <v>1961</v>
      </c>
    </row>
    <row r="70" spans="1:17" ht="143.4" x14ac:dyDescent="0.25">
      <c r="A70" s="41">
        <v>1</v>
      </c>
      <c r="B70" s="41">
        <v>867</v>
      </c>
      <c r="C70" s="250">
        <v>43361</v>
      </c>
      <c r="D70" s="41" t="s">
        <v>1797</v>
      </c>
      <c r="E70" s="41" t="s">
        <v>1932</v>
      </c>
      <c r="F70" s="41" t="s">
        <v>1962</v>
      </c>
      <c r="I70" s="41" t="s">
        <v>1963</v>
      </c>
      <c r="J70" s="41" t="s">
        <v>1182</v>
      </c>
      <c r="K70" s="41" t="s">
        <v>552</v>
      </c>
      <c r="L70" s="41">
        <v>2250</v>
      </c>
      <c r="M70" s="59">
        <v>0.5</v>
      </c>
      <c r="N70" s="41">
        <v>246</v>
      </c>
      <c r="O70" s="76">
        <f t="shared" si="1"/>
        <v>82.816666666666634</v>
      </c>
      <c r="P70" s="41">
        <v>47</v>
      </c>
      <c r="Q70" s="43" t="s">
        <v>1965</v>
      </c>
    </row>
    <row r="71" spans="1:17" ht="153.6" x14ac:dyDescent="0.25">
      <c r="A71" s="41">
        <v>1</v>
      </c>
      <c r="B71" s="41">
        <v>868</v>
      </c>
      <c r="C71" s="250">
        <v>43362</v>
      </c>
      <c r="D71" s="41" t="s">
        <v>1797</v>
      </c>
      <c r="E71" s="41" t="s">
        <v>1932</v>
      </c>
      <c r="F71" s="41" t="s">
        <v>1964</v>
      </c>
      <c r="I71" s="41" t="s">
        <v>1964</v>
      </c>
      <c r="J71" s="41" t="s">
        <v>1182</v>
      </c>
      <c r="K71" s="41" t="s">
        <v>552</v>
      </c>
      <c r="L71" s="41">
        <v>2980</v>
      </c>
      <c r="M71" s="59">
        <v>0.46875</v>
      </c>
      <c r="N71" s="41">
        <v>139</v>
      </c>
      <c r="O71" s="76">
        <f t="shared" si="1"/>
        <v>85.133333333333297</v>
      </c>
      <c r="P71" s="41">
        <v>41</v>
      </c>
      <c r="Q71" s="43" t="s">
        <v>1966</v>
      </c>
    </row>
    <row r="72" spans="1:17" ht="127.2" customHeight="1" x14ac:dyDescent="0.25">
      <c r="A72" s="41">
        <v>1</v>
      </c>
      <c r="B72" s="41">
        <v>869</v>
      </c>
      <c r="C72" s="250">
        <v>43363</v>
      </c>
      <c r="D72" s="41" t="s">
        <v>1797</v>
      </c>
      <c r="E72" s="41" t="s">
        <v>1932</v>
      </c>
      <c r="F72" s="41" t="s">
        <v>1964</v>
      </c>
      <c r="I72" s="41" t="s">
        <v>1964</v>
      </c>
      <c r="J72" s="41" t="s">
        <v>1182</v>
      </c>
      <c r="K72" s="41" t="s">
        <v>1967</v>
      </c>
      <c r="L72" s="41">
        <v>2900</v>
      </c>
      <c r="M72" s="59">
        <v>0.47916666666666669</v>
      </c>
      <c r="N72" s="41">
        <v>279</v>
      </c>
      <c r="O72" s="76">
        <f t="shared" si="1"/>
        <v>89.783333333333303</v>
      </c>
      <c r="P72" s="41">
        <v>75</v>
      </c>
      <c r="Q72" s="43" t="s">
        <v>1968</v>
      </c>
    </row>
    <row r="73" spans="1:17" ht="184.2" hidden="1" x14ac:dyDescent="0.25">
      <c r="A73" s="41">
        <v>1</v>
      </c>
      <c r="B73" s="41">
        <v>870</v>
      </c>
      <c r="C73" s="250">
        <v>43368</v>
      </c>
      <c r="D73" s="41" t="s">
        <v>1970</v>
      </c>
      <c r="E73" s="41" t="s">
        <v>532</v>
      </c>
      <c r="F73" s="41" t="s">
        <v>1650</v>
      </c>
      <c r="I73" s="41" t="s">
        <v>1650</v>
      </c>
      <c r="K73" s="41" t="s">
        <v>1971</v>
      </c>
      <c r="L73" s="41">
        <v>1400</v>
      </c>
      <c r="M73" s="59">
        <v>0.52083333333333337</v>
      </c>
      <c r="N73" s="41">
        <v>135</v>
      </c>
      <c r="O73" s="76">
        <f t="shared" si="1"/>
        <v>92.033333333333303</v>
      </c>
      <c r="Q73" s="43" t="s">
        <v>1969</v>
      </c>
    </row>
    <row r="74" spans="1:17" ht="70.8" hidden="1" customHeight="1" x14ac:dyDescent="0.25">
      <c r="A74" s="41">
        <v>1</v>
      </c>
      <c r="B74" s="41">
        <v>871</v>
      </c>
      <c r="C74" s="250">
        <v>43370</v>
      </c>
      <c r="D74" s="41" t="s">
        <v>1972</v>
      </c>
      <c r="E74" s="41" t="s">
        <v>532</v>
      </c>
      <c r="F74" s="41" t="s">
        <v>1650</v>
      </c>
      <c r="I74" s="41" t="s">
        <v>1650</v>
      </c>
      <c r="J74" s="41" t="s">
        <v>1182</v>
      </c>
      <c r="K74" s="41" t="s">
        <v>1971</v>
      </c>
      <c r="L74" s="41">
        <v>1750</v>
      </c>
      <c r="M74" s="59">
        <v>0.54166666666666663</v>
      </c>
      <c r="N74" s="41">
        <v>140</v>
      </c>
      <c r="O74" s="76">
        <f t="shared" si="1"/>
        <v>94.366666666666632</v>
      </c>
      <c r="P74" s="41">
        <v>20</v>
      </c>
      <c r="Q74" s="43" t="s">
        <v>1973</v>
      </c>
    </row>
    <row r="75" spans="1:17" x14ac:dyDescent="0.25">
      <c r="A75" s="41">
        <v>1</v>
      </c>
      <c r="B75" s="41">
        <v>872</v>
      </c>
      <c r="C75" s="250">
        <v>43371</v>
      </c>
      <c r="D75" s="41" t="s">
        <v>1797</v>
      </c>
      <c r="E75" s="41" t="s">
        <v>532</v>
      </c>
      <c r="F75" s="41" t="s">
        <v>1650</v>
      </c>
      <c r="I75" s="41" t="s">
        <v>1650</v>
      </c>
      <c r="K75" s="41" t="s">
        <v>1971</v>
      </c>
      <c r="M75" s="59">
        <v>0.4375</v>
      </c>
      <c r="N75" s="41">
        <v>7</v>
      </c>
      <c r="O75" s="76">
        <f t="shared" si="1"/>
        <v>94.483333333333292</v>
      </c>
      <c r="Q75" s="43" t="s">
        <v>1974</v>
      </c>
    </row>
    <row r="76" spans="1:17" ht="41.4" x14ac:dyDescent="0.25">
      <c r="A76" s="41">
        <v>1</v>
      </c>
      <c r="B76" s="41">
        <v>873</v>
      </c>
      <c r="C76" s="250">
        <v>43371</v>
      </c>
      <c r="D76" s="41" t="s">
        <v>1797</v>
      </c>
      <c r="E76" s="41" t="s">
        <v>532</v>
      </c>
      <c r="F76" s="41" t="s">
        <v>1650</v>
      </c>
      <c r="G76" s="41" t="s">
        <v>1830</v>
      </c>
      <c r="H76" s="41">
        <v>400</v>
      </c>
      <c r="I76" s="41" t="s">
        <v>1650</v>
      </c>
      <c r="K76" s="41" t="s">
        <v>1971</v>
      </c>
      <c r="L76" s="41">
        <v>2250</v>
      </c>
      <c r="M76" s="59">
        <v>0.5625</v>
      </c>
      <c r="N76" s="41">
        <v>127</v>
      </c>
      <c r="O76" s="76">
        <f t="shared" si="1"/>
        <v>96.599999999999952</v>
      </c>
      <c r="Q76" s="43" t="s">
        <v>1975</v>
      </c>
    </row>
    <row r="77" spans="1:17" hidden="1" x14ac:dyDescent="0.25">
      <c r="A77" s="41">
        <v>1</v>
      </c>
      <c r="B77" s="41">
        <v>874</v>
      </c>
      <c r="C77" s="250">
        <v>43373</v>
      </c>
      <c r="D77" s="41" t="s">
        <v>1924</v>
      </c>
      <c r="E77" s="41" t="s">
        <v>532</v>
      </c>
      <c r="F77" s="41" t="s">
        <v>1650</v>
      </c>
      <c r="I77" s="41" t="s">
        <v>1650</v>
      </c>
      <c r="K77" s="41" t="s">
        <v>1971</v>
      </c>
      <c r="M77" s="59">
        <v>0.4375</v>
      </c>
      <c r="N77" s="41">
        <v>10</v>
      </c>
      <c r="O77" s="76">
        <f t="shared" si="1"/>
        <v>96.766666666666623</v>
      </c>
      <c r="Q77" s="43" t="s">
        <v>1976</v>
      </c>
    </row>
    <row r="78" spans="1:17" ht="41.4" x14ac:dyDescent="0.25">
      <c r="A78" s="41">
        <v>1</v>
      </c>
      <c r="B78" s="41">
        <v>875</v>
      </c>
      <c r="C78" s="250">
        <v>43375</v>
      </c>
      <c r="D78" s="41" t="s">
        <v>1797</v>
      </c>
      <c r="E78" s="41" t="s">
        <v>532</v>
      </c>
      <c r="F78" s="41" t="s">
        <v>1650</v>
      </c>
      <c r="G78" s="41" t="s">
        <v>1830</v>
      </c>
      <c r="H78" s="41">
        <v>700</v>
      </c>
      <c r="I78" s="41" t="s">
        <v>1650</v>
      </c>
      <c r="K78" s="41" t="s">
        <v>1971</v>
      </c>
      <c r="M78" s="59">
        <v>0.51736111111111105</v>
      </c>
      <c r="N78" s="41">
        <v>15</v>
      </c>
      <c r="O78" s="76">
        <f t="shared" si="1"/>
        <v>97.016666666666623</v>
      </c>
      <c r="Q78" s="43" t="s">
        <v>1977</v>
      </c>
    </row>
    <row r="79" spans="1:17" ht="41.4" x14ac:dyDescent="0.25">
      <c r="A79" s="41">
        <v>1</v>
      </c>
      <c r="B79" s="41">
        <v>876</v>
      </c>
      <c r="C79" s="250">
        <v>43375</v>
      </c>
      <c r="D79" s="41" t="s">
        <v>1797</v>
      </c>
      <c r="E79" s="41" t="s">
        <v>532</v>
      </c>
      <c r="F79" s="41" t="s">
        <v>1650</v>
      </c>
      <c r="G79" s="41" t="s">
        <v>1830</v>
      </c>
      <c r="H79" s="41">
        <v>800</v>
      </c>
      <c r="I79" s="41" t="s">
        <v>1650</v>
      </c>
      <c r="K79" s="41" t="s">
        <v>1971</v>
      </c>
      <c r="L79" s="41">
        <v>1430</v>
      </c>
      <c r="M79" s="59">
        <v>0.65625</v>
      </c>
      <c r="N79" s="41">
        <v>46</v>
      </c>
      <c r="O79" s="76">
        <f t="shared" si="1"/>
        <v>97.783333333333289</v>
      </c>
      <c r="Q79" s="43" t="s">
        <v>1978</v>
      </c>
    </row>
    <row r="80" spans="1:17" ht="51.6" x14ac:dyDescent="0.25">
      <c r="A80" s="41">
        <v>1</v>
      </c>
      <c r="B80" s="41">
        <v>877</v>
      </c>
      <c r="C80" s="250">
        <v>43376</v>
      </c>
      <c r="D80" s="41" t="s">
        <v>1797</v>
      </c>
      <c r="E80" s="41" t="s">
        <v>532</v>
      </c>
      <c r="F80" s="41" t="s">
        <v>1650</v>
      </c>
      <c r="G80" s="41" t="s">
        <v>1830</v>
      </c>
      <c r="H80" s="41">
        <v>1100</v>
      </c>
      <c r="I80" s="41" t="s">
        <v>1650</v>
      </c>
      <c r="K80" s="41" t="s">
        <v>1971</v>
      </c>
      <c r="L80" s="41">
        <v>1700</v>
      </c>
      <c r="M80" s="59">
        <v>0.56944444444444442</v>
      </c>
      <c r="N80" s="41">
        <v>154</v>
      </c>
      <c r="O80" s="76">
        <f t="shared" si="1"/>
        <v>100.34999999999995</v>
      </c>
      <c r="Q80" s="43" t="s">
        <v>1979</v>
      </c>
    </row>
    <row r="81" spans="1:18" ht="51.6" x14ac:dyDescent="0.25">
      <c r="A81" s="41">
        <v>1</v>
      </c>
      <c r="B81" s="41">
        <v>878</v>
      </c>
      <c r="C81" s="250">
        <v>43377</v>
      </c>
      <c r="D81" s="41" t="s">
        <v>1797</v>
      </c>
      <c r="E81" s="41" t="s">
        <v>532</v>
      </c>
      <c r="F81" s="41" t="s">
        <v>1650</v>
      </c>
      <c r="G81" s="41" t="s">
        <v>1830</v>
      </c>
      <c r="H81" s="41">
        <v>1100</v>
      </c>
      <c r="I81" s="41" t="s">
        <v>1650</v>
      </c>
      <c r="K81" s="41" t="s">
        <v>1980</v>
      </c>
      <c r="M81" s="59">
        <v>0.56597222222222221</v>
      </c>
      <c r="N81" s="41">
        <v>105</v>
      </c>
      <c r="O81" s="76">
        <f t="shared" si="1"/>
        <v>102.09999999999995</v>
      </c>
      <c r="Q81" s="43" t="s">
        <v>1981</v>
      </c>
    </row>
    <row r="82" spans="1:18" x14ac:dyDescent="0.25">
      <c r="A82" s="41">
        <v>1</v>
      </c>
      <c r="B82" s="41">
        <v>879</v>
      </c>
      <c r="C82" s="250">
        <v>43378</v>
      </c>
      <c r="D82" s="41" t="s">
        <v>1797</v>
      </c>
      <c r="E82" s="41" t="s">
        <v>532</v>
      </c>
      <c r="F82" s="41" t="s">
        <v>1650</v>
      </c>
      <c r="G82" s="41" t="s">
        <v>1830</v>
      </c>
      <c r="H82" s="41">
        <v>1100</v>
      </c>
      <c r="I82" s="41" t="s">
        <v>1650</v>
      </c>
      <c r="K82" s="41" t="s">
        <v>1982</v>
      </c>
      <c r="M82" s="59">
        <v>0.56805555555555554</v>
      </c>
      <c r="N82" s="41">
        <v>135</v>
      </c>
      <c r="O82" s="76">
        <f t="shared" si="1"/>
        <v>104.34999999999995</v>
      </c>
      <c r="Q82" s="43" t="s">
        <v>1983</v>
      </c>
    </row>
    <row r="83" spans="1:18" ht="51.6" x14ac:dyDescent="0.25">
      <c r="A83" s="41">
        <v>1</v>
      </c>
      <c r="B83" s="41">
        <v>880</v>
      </c>
      <c r="C83" s="250">
        <v>43385</v>
      </c>
      <c r="D83" s="41" t="s">
        <v>1797</v>
      </c>
      <c r="E83" s="41" t="s">
        <v>532</v>
      </c>
      <c r="F83" s="41" t="s">
        <v>1650</v>
      </c>
      <c r="G83" s="41" t="s">
        <v>1830</v>
      </c>
      <c r="H83" s="41">
        <v>1100</v>
      </c>
      <c r="I83" s="41" t="s">
        <v>1650</v>
      </c>
      <c r="K83" s="41" t="s">
        <v>1984</v>
      </c>
      <c r="L83" s="41">
        <v>1980</v>
      </c>
      <c r="M83" s="59">
        <v>0.61805555555555558</v>
      </c>
      <c r="N83" s="41">
        <v>95</v>
      </c>
      <c r="O83" s="76">
        <f t="shared" si="1"/>
        <v>105.93333333333328</v>
      </c>
      <c r="Q83" s="43" t="s">
        <v>1985</v>
      </c>
    </row>
    <row r="84" spans="1:18" ht="102.6" x14ac:dyDescent="0.25">
      <c r="A84" s="41">
        <v>1</v>
      </c>
      <c r="B84" s="41">
        <v>881</v>
      </c>
      <c r="C84" s="250">
        <v>43386</v>
      </c>
      <c r="D84" s="41" t="s">
        <v>1797</v>
      </c>
      <c r="E84" s="41" t="s">
        <v>532</v>
      </c>
      <c r="F84" s="41" t="s">
        <v>1650</v>
      </c>
      <c r="G84" s="41" t="s">
        <v>1830</v>
      </c>
      <c r="H84" s="41">
        <v>1100</v>
      </c>
      <c r="I84" s="41" t="s">
        <v>1650</v>
      </c>
      <c r="L84" s="41">
        <v>2200</v>
      </c>
      <c r="M84" s="59">
        <v>0.56597222222222221</v>
      </c>
      <c r="N84" s="41">
        <v>51</v>
      </c>
      <c r="O84" s="76">
        <f t="shared" si="1"/>
        <v>106.78333333333327</v>
      </c>
      <c r="Q84" s="43" t="s">
        <v>1986</v>
      </c>
    </row>
    <row r="85" spans="1:18" ht="61.8" x14ac:dyDescent="0.25">
      <c r="A85" s="41">
        <v>1</v>
      </c>
      <c r="B85" s="41">
        <v>882</v>
      </c>
      <c r="C85" s="250">
        <v>43386</v>
      </c>
      <c r="D85" s="41" t="s">
        <v>1797</v>
      </c>
      <c r="E85" s="41" t="s">
        <v>532</v>
      </c>
      <c r="F85" s="41" t="s">
        <v>1650</v>
      </c>
      <c r="G85" s="41" t="s">
        <v>1830</v>
      </c>
      <c r="H85" s="41">
        <v>1100</v>
      </c>
      <c r="I85" s="41" t="s">
        <v>1650</v>
      </c>
      <c r="M85" s="59">
        <v>0.65277777777777779</v>
      </c>
      <c r="N85" s="41">
        <v>67</v>
      </c>
      <c r="O85" s="76">
        <f t="shared" si="1"/>
        <v>107.89999999999993</v>
      </c>
      <c r="Q85" s="43" t="s">
        <v>1987</v>
      </c>
    </row>
    <row r="86" spans="1:18" ht="31.2" x14ac:dyDescent="0.25">
      <c r="A86" s="41">
        <v>1</v>
      </c>
      <c r="B86" s="41">
        <v>883</v>
      </c>
      <c r="C86" s="250">
        <v>43389</v>
      </c>
      <c r="D86" s="41" t="s">
        <v>1797</v>
      </c>
      <c r="E86" s="41" t="s">
        <v>532</v>
      </c>
      <c r="F86" s="41" t="s">
        <v>1650</v>
      </c>
      <c r="G86" s="41" t="s">
        <v>1830</v>
      </c>
      <c r="H86" s="41">
        <v>1100</v>
      </c>
      <c r="I86" s="41" t="s">
        <v>1650</v>
      </c>
      <c r="N86" s="41">
        <v>19</v>
      </c>
      <c r="O86" s="76">
        <f t="shared" si="1"/>
        <v>108.2166666666666</v>
      </c>
      <c r="Q86" s="43" t="s">
        <v>1991</v>
      </c>
    </row>
    <row r="87" spans="1:18" ht="51.6" hidden="1" x14ac:dyDescent="0.25">
      <c r="A87" s="41">
        <v>1</v>
      </c>
      <c r="B87" s="41">
        <v>884</v>
      </c>
      <c r="C87" s="250">
        <v>43389</v>
      </c>
      <c r="D87" s="41" t="s">
        <v>2016</v>
      </c>
      <c r="E87" s="41" t="s">
        <v>532</v>
      </c>
      <c r="F87" s="41" t="s">
        <v>1650</v>
      </c>
      <c r="G87" s="41" t="s">
        <v>1830</v>
      </c>
      <c r="H87" s="41">
        <v>700</v>
      </c>
      <c r="I87" s="41" t="s">
        <v>1650</v>
      </c>
      <c r="N87" s="41">
        <v>11</v>
      </c>
      <c r="O87" s="76">
        <f t="shared" si="1"/>
        <v>108.39999999999993</v>
      </c>
      <c r="Q87" s="43" t="s">
        <v>1992</v>
      </c>
    </row>
    <row r="88" spans="1:18" ht="21" hidden="1" x14ac:dyDescent="0.25">
      <c r="A88" s="41">
        <v>1</v>
      </c>
      <c r="B88" s="41">
        <v>885</v>
      </c>
      <c r="C88" s="250">
        <v>43390</v>
      </c>
      <c r="D88" s="41" t="s">
        <v>2016</v>
      </c>
      <c r="E88" s="41" t="s">
        <v>532</v>
      </c>
      <c r="F88" s="41" t="s">
        <v>1650</v>
      </c>
      <c r="G88" s="41" t="s">
        <v>1830</v>
      </c>
      <c r="H88" s="41">
        <v>700</v>
      </c>
      <c r="I88" s="41" t="s">
        <v>1650</v>
      </c>
      <c r="N88" s="41">
        <v>21</v>
      </c>
      <c r="O88" s="76">
        <f t="shared" si="1"/>
        <v>108.74999999999993</v>
      </c>
      <c r="Q88" s="43" t="s">
        <v>1993</v>
      </c>
    </row>
    <row r="89" spans="1:18" ht="72" hidden="1" x14ac:dyDescent="0.25">
      <c r="A89" s="41">
        <v>1</v>
      </c>
      <c r="B89" s="41">
        <v>886</v>
      </c>
      <c r="C89" s="250">
        <v>43390</v>
      </c>
      <c r="D89" s="41" t="s">
        <v>2016</v>
      </c>
      <c r="E89" s="41" t="s">
        <v>532</v>
      </c>
      <c r="F89" s="41" t="s">
        <v>1650</v>
      </c>
      <c r="G89" s="41" t="s">
        <v>1990</v>
      </c>
      <c r="I89" s="41" t="s">
        <v>1650</v>
      </c>
      <c r="N89" s="41">
        <v>10</v>
      </c>
      <c r="O89" s="76">
        <f t="shared" si="1"/>
        <v>108.9166666666666</v>
      </c>
      <c r="Q89" s="43" t="s">
        <v>1994</v>
      </c>
    </row>
    <row r="90" spans="1:18" x14ac:dyDescent="0.25">
      <c r="A90" s="41">
        <v>1</v>
      </c>
      <c r="B90" s="41">
        <v>887</v>
      </c>
      <c r="C90" s="250">
        <v>43393</v>
      </c>
      <c r="D90" s="41" t="s">
        <v>1797</v>
      </c>
      <c r="E90" s="41" t="s">
        <v>1995</v>
      </c>
      <c r="F90" s="41" t="s">
        <v>1231</v>
      </c>
      <c r="G90" s="41" t="s">
        <v>2002</v>
      </c>
      <c r="H90" s="41">
        <v>500</v>
      </c>
      <c r="I90" s="41" t="s">
        <v>1231</v>
      </c>
      <c r="J90" s="41" t="s">
        <v>1877</v>
      </c>
      <c r="K90" s="41" t="s">
        <v>1996</v>
      </c>
      <c r="N90" s="41">
        <v>37</v>
      </c>
      <c r="O90" s="76">
        <f t="shared" si="1"/>
        <v>109.53333333333326</v>
      </c>
      <c r="Q90" s="43" t="s">
        <v>1998</v>
      </c>
    </row>
    <row r="91" spans="1:18" ht="61.8" x14ac:dyDescent="0.25">
      <c r="A91" s="41">
        <v>1</v>
      </c>
      <c r="B91" s="41">
        <v>888</v>
      </c>
      <c r="C91" s="250">
        <v>43394</v>
      </c>
      <c r="D91" s="41" t="s">
        <v>1797</v>
      </c>
      <c r="E91" s="41" t="s">
        <v>1995</v>
      </c>
      <c r="F91" s="41" t="s">
        <v>1231</v>
      </c>
      <c r="G91" s="41" t="s">
        <v>2002</v>
      </c>
      <c r="H91" s="41">
        <v>600</v>
      </c>
      <c r="I91" s="41" t="s">
        <v>1231</v>
      </c>
      <c r="J91" s="41" t="s">
        <v>1877</v>
      </c>
      <c r="K91" s="41" t="s">
        <v>1997</v>
      </c>
      <c r="N91" s="41">
        <v>72</v>
      </c>
      <c r="O91" s="76">
        <f t="shared" si="1"/>
        <v>110.73333333333326</v>
      </c>
      <c r="Q91" s="43" t="s">
        <v>1999</v>
      </c>
      <c r="R91" s="41" t="s">
        <v>2000</v>
      </c>
    </row>
    <row r="92" spans="1:18" ht="31.2" x14ac:dyDescent="0.25">
      <c r="A92" s="41">
        <v>1</v>
      </c>
      <c r="B92" s="41">
        <v>889</v>
      </c>
      <c r="C92" s="250">
        <v>43395</v>
      </c>
      <c r="D92" s="41" t="s">
        <v>1797</v>
      </c>
      <c r="E92" s="41" t="s">
        <v>1995</v>
      </c>
      <c r="F92" s="41" t="s">
        <v>1231</v>
      </c>
      <c r="G92" s="41" t="s">
        <v>2002</v>
      </c>
      <c r="H92" s="41">
        <v>601</v>
      </c>
      <c r="I92" s="41" t="s">
        <v>1231</v>
      </c>
      <c r="J92" s="41" t="s">
        <v>1877</v>
      </c>
      <c r="L92" s="41">
        <v>1740</v>
      </c>
      <c r="M92" s="59">
        <v>0.60416666666666663</v>
      </c>
      <c r="N92" s="41">
        <v>80</v>
      </c>
      <c r="O92" s="76">
        <f t="shared" si="1"/>
        <v>112.06666666666659</v>
      </c>
      <c r="Q92" s="43" t="s">
        <v>2001</v>
      </c>
    </row>
    <row r="93" spans="1:18" ht="21" x14ac:dyDescent="0.25">
      <c r="A93" s="41">
        <v>1</v>
      </c>
      <c r="B93" s="42">
        <v>890</v>
      </c>
      <c r="C93" s="250">
        <v>43396</v>
      </c>
      <c r="D93" s="41" t="s">
        <v>1797</v>
      </c>
      <c r="E93" s="41" t="s">
        <v>1995</v>
      </c>
      <c r="F93" s="41" t="s">
        <v>1231</v>
      </c>
      <c r="G93" s="41" t="s">
        <v>1830</v>
      </c>
      <c r="H93" s="41">
        <v>600</v>
      </c>
      <c r="I93" s="41" t="s">
        <v>1231</v>
      </c>
      <c r="J93" s="41" t="s">
        <v>1877</v>
      </c>
      <c r="N93" s="41">
        <v>7</v>
      </c>
      <c r="O93" s="76">
        <f t="shared" si="1"/>
        <v>112.18333333333325</v>
      </c>
      <c r="Q93" s="43" t="s">
        <v>2005</v>
      </c>
    </row>
    <row r="94" spans="1:18" hidden="1" x14ac:dyDescent="0.25">
      <c r="A94" s="41">
        <v>1</v>
      </c>
      <c r="B94" s="41">
        <v>891</v>
      </c>
      <c r="C94" s="250">
        <v>43397</v>
      </c>
      <c r="D94" s="41" t="s">
        <v>2016</v>
      </c>
      <c r="E94" s="41" t="s">
        <v>1995</v>
      </c>
      <c r="F94" s="41" t="s">
        <v>2003</v>
      </c>
      <c r="G94" s="41" t="s">
        <v>2004</v>
      </c>
      <c r="H94" s="41">
        <v>0</v>
      </c>
      <c r="I94" s="41" t="s">
        <v>1231</v>
      </c>
      <c r="J94" s="41" t="s">
        <v>1877</v>
      </c>
      <c r="N94" s="41">
        <v>120</v>
      </c>
      <c r="O94" s="76">
        <f t="shared" si="1"/>
        <v>114.18333333333325</v>
      </c>
      <c r="Q94" s="43" t="s">
        <v>2006</v>
      </c>
    </row>
    <row r="95" spans="1:18" hidden="1" x14ac:dyDescent="0.25">
      <c r="A95" s="41">
        <v>1</v>
      </c>
      <c r="B95" s="41">
        <v>892</v>
      </c>
      <c r="C95" s="250">
        <v>43398</v>
      </c>
      <c r="D95" s="41" t="s">
        <v>2016</v>
      </c>
      <c r="E95" s="41" t="s">
        <v>1995</v>
      </c>
      <c r="F95" s="41" t="s">
        <v>1231</v>
      </c>
      <c r="G95" s="41" t="s">
        <v>2004</v>
      </c>
      <c r="H95" s="41">
        <v>0</v>
      </c>
      <c r="I95" s="41" t="s">
        <v>1231</v>
      </c>
      <c r="J95" s="41" t="s">
        <v>1877</v>
      </c>
      <c r="N95" s="41">
        <v>13</v>
      </c>
      <c r="O95" s="76">
        <f t="shared" si="1"/>
        <v>114.39999999999992</v>
      </c>
    </row>
    <row r="96" spans="1:18" hidden="1" x14ac:dyDescent="0.25">
      <c r="A96" s="41">
        <v>1</v>
      </c>
      <c r="B96" s="41">
        <v>893</v>
      </c>
      <c r="C96" s="250">
        <v>43398</v>
      </c>
      <c r="D96" s="41" t="s">
        <v>2016</v>
      </c>
      <c r="E96" s="41" t="s">
        <v>1995</v>
      </c>
      <c r="F96" s="41" t="s">
        <v>1231</v>
      </c>
      <c r="G96" s="41" t="s">
        <v>2004</v>
      </c>
      <c r="H96" s="41">
        <v>0</v>
      </c>
      <c r="I96" s="41" t="s">
        <v>1231</v>
      </c>
      <c r="J96" s="41" t="s">
        <v>1877</v>
      </c>
      <c r="N96" s="41">
        <v>61</v>
      </c>
      <c r="O96" s="76">
        <f t="shared" si="1"/>
        <v>115.41666666666659</v>
      </c>
    </row>
    <row r="97" spans="1:18" x14ac:dyDescent="0.25">
      <c r="A97" s="41">
        <v>1</v>
      </c>
      <c r="B97" s="41">
        <v>894</v>
      </c>
      <c r="C97" s="250">
        <v>43418</v>
      </c>
      <c r="D97" s="41" t="s">
        <v>1797</v>
      </c>
      <c r="E97" s="41" t="s">
        <v>532</v>
      </c>
      <c r="F97" s="41" t="s">
        <v>1650</v>
      </c>
      <c r="G97" s="41" t="s">
        <v>1830</v>
      </c>
      <c r="H97" s="41">
        <v>1200</v>
      </c>
      <c r="I97" s="41" t="s">
        <v>1650</v>
      </c>
      <c r="J97" s="41" t="s">
        <v>1877</v>
      </c>
      <c r="M97" s="59">
        <v>0.5625</v>
      </c>
      <c r="N97" s="41">
        <v>18</v>
      </c>
      <c r="O97" s="76">
        <f t="shared" si="1"/>
        <v>115.71666666666658</v>
      </c>
    </row>
    <row r="98" spans="1:18" ht="41.4" x14ac:dyDescent="0.25">
      <c r="A98" s="41">
        <v>1</v>
      </c>
      <c r="B98" s="41">
        <v>895</v>
      </c>
      <c r="C98" s="250">
        <v>43424</v>
      </c>
      <c r="D98" s="41" t="s">
        <v>1797</v>
      </c>
      <c r="E98" s="41" t="s">
        <v>1887</v>
      </c>
      <c r="F98" s="41" t="s">
        <v>2012</v>
      </c>
      <c r="G98" s="41" t="s">
        <v>1830</v>
      </c>
      <c r="H98" s="41">
        <v>250</v>
      </c>
      <c r="I98" s="41" t="s">
        <v>2012</v>
      </c>
      <c r="J98" s="41" t="s">
        <v>1877</v>
      </c>
      <c r="N98" s="41">
        <v>17</v>
      </c>
      <c r="O98" s="76">
        <f t="shared" si="1"/>
        <v>115.99999999999991</v>
      </c>
      <c r="Q98" s="43" t="s">
        <v>2013</v>
      </c>
    </row>
    <row r="99" spans="1:18" x14ac:dyDescent="0.25">
      <c r="A99" s="41">
        <v>1</v>
      </c>
      <c r="B99" s="41">
        <v>896</v>
      </c>
      <c r="C99" s="250">
        <v>43424</v>
      </c>
      <c r="D99" s="41" t="s">
        <v>1797</v>
      </c>
      <c r="E99" s="41" t="s">
        <v>1887</v>
      </c>
      <c r="F99" s="41" t="s">
        <v>2012</v>
      </c>
      <c r="G99" s="41" t="s">
        <v>1830</v>
      </c>
      <c r="H99" s="41">
        <v>250</v>
      </c>
      <c r="I99" s="41" t="s">
        <v>2012</v>
      </c>
      <c r="J99" s="41" t="s">
        <v>1877</v>
      </c>
      <c r="N99" s="41">
        <v>8</v>
      </c>
      <c r="O99" s="76">
        <f t="shared" si="1"/>
        <v>116.13333333333325</v>
      </c>
    </row>
    <row r="100" spans="1:18" x14ac:dyDescent="0.25">
      <c r="A100" s="41">
        <v>1</v>
      </c>
      <c r="B100" s="41">
        <v>897</v>
      </c>
      <c r="C100" s="250">
        <v>43425</v>
      </c>
      <c r="D100" s="41" t="s">
        <v>1797</v>
      </c>
      <c r="E100" s="41" t="s">
        <v>1887</v>
      </c>
      <c r="F100" s="41" t="s">
        <v>2012</v>
      </c>
      <c r="G100" s="41" t="s">
        <v>1830</v>
      </c>
      <c r="H100" s="41">
        <v>250</v>
      </c>
      <c r="I100" s="41" t="s">
        <v>2012</v>
      </c>
      <c r="J100" s="41" t="s">
        <v>1877</v>
      </c>
      <c r="N100" s="41">
        <v>17</v>
      </c>
      <c r="O100" s="76">
        <f t="shared" si="1"/>
        <v>116.41666666666659</v>
      </c>
    </row>
    <row r="101" spans="1:18" x14ac:dyDescent="0.25">
      <c r="A101" s="41">
        <v>1</v>
      </c>
      <c r="B101" s="41">
        <v>898</v>
      </c>
      <c r="C101" s="250">
        <v>43425</v>
      </c>
      <c r="D101" s="41" t="s">
        <v>1797</v>
      </c>
      <c r="E101" s="41" t="s">
        <v>1887</v>
      </c>
      <c r="F101" s="41" t="s">
        <v>2012</v>
      </c>
      <c r="G101" s="41" t="s">
        <v>1830</v>
      </c>
      <c r="H101" s="41">
        <v>250</v>
      </c>
      <c r="I101" s="41" t="s">
        <v>2012</v>
      </c>
      <c r="J101" s="41" t="s">
        <v>1877</v>
      </c>
      <c r="N101" s="41">
        <v>7</v>
      </c>
      <c r="O101" s="76">
        <f t="shared" si="1"/>
        <v>116.53333333333325</v>
      </c>
    </row>
    <row r="102" spans="1:18" x14ac:dyDescent="0.25">
      <c r="A102" s="41">
        <v>1</v>
      </c>
      <c r="B102" s="41">
        <v>899</v>
      </c>
      <c r="C102" s="250">
        <v>43425</v>
      </c>
      <c r="D102" s="41" t="s">
        <v>1797</v>
      </c>
      <c r="E102" s="41" t="s">
        <v>1887</v>
      </c>
      <c r="F102" s="41" t="s">
        <v>2012</v>
      </c>
      <c r="G102" s="41" t="s">
        <v>1830</v>
      </c>
      <c r="H102" s="41">
        <v>250</v>
      </c>
      <c r="I102" s="41" t="s">
        <v>2012</v>
      </c>
      <c r="J102" s="41" t="s">
        <v>1877</v>
      </c>
      <c r="N102" s="41">
        <v>7</v>
      </c>
      <c r="O102" s="76">
        <f t="shared" si="1"/>
        <v>116.64999999999991</v>
      </c>
    </row>
    <row r="103" spans="1:18" ht="31.2" x14ac:dyDescent="0.25">
      <c r="A103" s="41">
        <v>1</v>
      </c>
      <c r="B103" s="41">
        <v>900</v>
      </c>
      <c r="C103" s="250">
        <v>43428</v>
      </c>
      <c r="D103" s="41" t="s">
        <v>1797</v>
      </c>
      <c r="E103" s="41" t="s">
        <v>1887</v>
      </c>
      <c r="F103" s="41" t="s">
        <v>1888</v>
      </c>
      <c r="G103" s="41" t="s">
        <v>1830</v>
      </c>
      <c r="H103" s="41">
        <v>550</v>
      </c>
      <c r="I103" s="41" t="s">
        <v>1888</v>
      </c>
      <c r="J103" s="41" t="s">
        <v>1877</v>
      </c>
      <c r="N103" s="41">
        <v>33</v>
      </c>
      <c r="O103" s="76">
        <f t="shared" si="1"/>
        <v>117.1999999999999</v>
      </c>
      <c r="Q103" s="43" t="s">
        <v>2014</v>
      </c>
    </row>
    <row r="104" spans="1:18" x14ac:dyDescent="0.25">
      <c r="A104" s="41">
        <v>1</v>
      </c>
      <c r="B104" s="41">
        <v>901</v>
      </c>
      <c r="C104" s="250">
        <v>43428</v>
      </c>
      <c r="D104" s="41" t="s">
        <v>1797</v>
      </c>
      <c r="E104" s="41" t="s">
        <v>1887</v>
      </c>
      <c r="F104" s="41" t="s">
        <v>1888</v>
      </c>
      <c r="I104" s="41" t="s">
        <v>1888</v>
      </c>
      <c r="J104" s="41" t="s">
        <v>1877</v>
      </c>
      <c r="N104" s="41">
        <v>9</v>
      </c>
      <c r="O104" s="76">
        <f t="shared" si="1"/>
        <v>117.34999999999991</v>
      </c>
      <c r="Q104" s="43" t="s">
        <v>2015</v>
      </c>
    </row>
    <row r="105" spans="1:18" x14ac:dyDescent="0.25">
      <c r="A105" s="41">
        <v>1</v>
      </c>
      <c r="B105" s="41">
        <v>902</v>
      </c>
      <c r="C105" s="250">
        <v>43429</v>
      </c>
      <c r="D105" s="41" t="s">
        <v>1797</v>
      </c>
      <c r="E105" s="41" t="s">
        <v>1887</v>
      </c>
      <c r="F105" s="41" t="s">
        <v>1888</v>
      </c>
      <c r="G105" s="41" t="s">
        <v>1830</v>
      </c>
      <c r="H105" s="41">
        <v>550</v>
      </c>
      <c r="I105" s="41" t="s">
        <v>1888</v>
      </c>
      <c r="J105" s="41" t="s">
        <v>1877</v>
      </c>
      <c r="N105" s="41">
        <v>9</v>
      </c>
      <c r="O105" s="76">
        <f t="shared" si="1"/>
        <v>117.49999999999991</v>
      </c>
    </row>
    <row r="106" spans="1:18" x14ac:dyDescent="0.25">
      <c r="A106" s="41">
        <v>1</v>
      </c>
      <c r="B106" s="41">
        <v>903</v>
      </c>
      <c r="C106" s="250">
        <v>43429</v>
      </c>
      <c r="D106" s="41" t="s">
        <v>1797</v>
      </c>
      <c r="E106" s="41" t="s">
        <v>1887</v>
      </c>
      <c r="F106" s="41" t="s">
        <v>1888</v>
      </c>
      <c r="G106" s="41" t="s">
        <v>1830</v>
      </c>
      <c r="H106" s="41">
        <v>550</v>
      </c>
      <c r="I106" s="41" t="s">
        <v>1888</v>
      </c>
      <c r="J106" s="41" t="s">
        <v>1877</v>
      </c>
      <c r="N106" s="41">
        <v>13</v>
      </c>
      <c r="O106" s="76">
        <f t="shared" si="1"/>
        <v>117.71666666666658</v>
      </c>
    </row>
    <row r="107" spans="1:18" x14ac:dyDescent="0.25">
      <c r="A107" s="41">
        <v>1</v>
      </c>
      <c r="B107" s="41">
        <v>904</v>
      </c>
      <c r="C107" s="250">
        <v>43430</v>
      </c>
      <c r="D107" s="41" t="s">
        <v>1797</v>
      </c>
      <c r="E107" s="41" t="s">
        <v>1887</v>
      </c>
      <c r="F107" s="41" t="s">
        <v>1888</v>
      </c>
      <c r="G107" s="41" t="s">
        <v>1830</v>
      </c>
      <c r="H107" s="41">
        <v>550</v>
      </c>
      <c r="I107" s="41" t="s">
        <v>1888</v>
      </c>
      <c r="J107" s="41" t="s">
        <v>1877</v>
      </c>
      <c r="N107" s="41">
        <v>13</v>
      </c>
      <c r="O107" s="76">
        <f t="shared" si="1"/>
        <v>117.93333333333325</v>
      </c>
    </row>
    <row r="108" spans="1:18" x14ac:dyDescent="0.25">
      <c r="A108" s="41">
        <v>1</v>
      </c>
      <c r="B108" s="41">
        <v>905</v>
      </c>
      <c r="C108" s="250">
        <v>43430</v>
      </c>
      <c r="D108" s="41" t="s">
        <v>1797</v>
      </c>
      <c r="E108" s="41" t="s">
        <v>1887</v>
      </c>
      <c r="F108" s="41" t="s">
        <v>1888</v>
      </c>
      <c r="I108" s="41" t="s">
        <v>1888</v>
      </c>
      <c r="J108" s="41" t="s">
        <v>1877</v>
      </c>
      <c r="N108" s="41">
        <v>33</v>
      </c>
      <c r="O108" s="76">
        <f t="shared" si="1"/>
        <v>118.48333333333325</v>
      </c>
    </row>
    <row r="109" spans="1:18" ht="21" x14ac:dyDescent="0.25">
      <c r="A109" s="41">
        <v>1</v>
      </c>
      <c r="B109" s="41">
        <v>906</v>
      </c>
      <c r="C109" s="250">
        <v>43438</v>
      </c>
      <c r="D109" s="41" t="s">
        <v>1797</v>
      </c>
      <c r="E109" s="41" t="s">
        <v>532</v>
      </c>
      <c r="F109" s="41" t="s">
        <v>2017</v>
      </c>
      <c r="G109" s="41" t="s">
        <v>1830</v>
      </c>
      <c r="H109" s="41">
        <v>800</v>
      </c>
      <c r="I109" s="41" t="s">
        <v>2022</v>
      </c>
      <c r="J109" s="41" t="s">
        <v>1877</v>
      </c>
      <c r="N109" s="41">
        <v>13</v>
      </c>
      <c r="O109" s="266">
        <f t="shared" si="1"/>
        <v>118.69999999999992</v>
      </c>
      <c r="Q109" s="43" t="s">
        <v>2028</v>
      </c>
    </row>
    <row r="110" spans="1:18" ht="31.2" x14ac:dyDescent="0.25">
      <c r="A110" s="41">
        <v>1</v>
      </c>
      <c r="B110" s="41">
        <v>907</v>
      </c>
      <c r="C110" s="250">
        <v>43439</v>
      </c>
      <c r="D110" s="41" t="s">
        <v>1797</v>
      </c>
      <c r="E110" s="41" t="s">
        <v>532</v>
      </c>
      <c r="F110" s="41" t="s">
        <v>2018</v>
      </c>
      <c r="G110" s="41" t="s">
        <v>2020</v>
      </c>
      <c r="H110" s="41">
        <v>1300</v>
      </c>
      <c r="I110" s="41" t="s">
        <v>2023</v>
      </c>
      <c r="J110" s="41" t="s">
        <v>1877</v>
      </c>
      <c r="N110" s="41">
        <v>37</v>
      </c>
      <c r="O110" s="76">
        <f t="shared" si="1"/>
        <v>119.31666666666658</v>
      </c>
      <c r="Q110" s="43" t="s">
        <v>2027</v>
      </c>
    </row>
    <row r="111" spans="1:18" ht="72" hidden="1" x14ac:dyDescent="0.25">
      <c r="A111" s="41">
        <v>1</v>
      </c>
      <c r="B111" s="41">
        <v>908</v>
      </c>
      <c r="C111" s="250">
        <v>43440</v>
      </c>
      <c r="D111" s="41" t="s">
        <v>1988</v>
      </c>
      <c r="E111" s="41" t="s">
        <v>532</v>
      </c>
      <c r="F111" s="41" t="s">
        <v>2019</v>
      </c>
      <c r="G111" s="41" t="s">
        <v>2021</v>
      </c>
      <c r="I111" s="41" t="s">
        <v>1058</v>
      </c>
      <c r="J111" s="41" t="s">
        <v>1877</v>
      </c>
      <c r="M111" s="59">
        <v>0.51388888888888895</v>
      </c>
      <c r="N111" s="41">
        <v>63</v>
      </c>
      <c r="O111" s="76">
        <f t="shared" si="1"/>
        <v>120.36666666666657</v>
      </c>
      <c r="Q111" s="43" t="s">
        <v>2026</v>
      </c>
    </row>
    <row r="112" spans="1:18" hidden="1" x14ac:dyDescent="0.25">
      <c r="A112" s="41">
        <v>1</v>
      </c>
      <c r="B112" s="41">
        <v>909</v>
      </c>
      <c r="C112" s="250">
        <v>43441</v>
      </c>
      <c r="D112" s="41" t="s">
        <v>1988</v>
      </c>
      <c r="E112" s="41" t="s">
        <v>532</v>
      </c>
      <c r="F112" s="41" t="s">
        <v>2019</v>
      </c>
      <c r="G112" s="41" t="s">
        <v>1830</v>
      </c>
      <c r="H112" s="41">
        <v>600</v>
      </c>
      <c r="I112" s="41" t="s">
        <v>1550</v>
      </c>
      <c r="J112" s="41" t="s">
        <v>1877</v>
      </c>
      <c r="M112" s="59">
        <v>0.52083333333333337</v>
      </c>
      <c r="N112" s="41">
        <v>9</v>
      </c>
      <c r="O112" s="76">
        <f t="shared" si="1"/>
        <v>120.51666666666658</v>
      </c>
      <c r="Q112" s="43" t="s">
        <v>2024</v>
      </c>
      <c r="R112" s="41" t="s">
        <v>2025</v>
      </c>
    </row>
    <row r="113" spans="1:17" ht="72" x14ac:dyDescent="0.25">
      <c r="A113" s="41">
        <v>1</v>
      </c>
      <c r="B113" s="41">
        <v>910</v>
      </c>
      <c r="C113" s="250">
        <v>43445</v>
      </c>
      <c r="D113" s="41" t="s">
        <v>1797</v>
      </c>
      <c r="E113" s="41" t="s">
        <v>532</v>
      </c>
      <c r="F113" s="41" t="s">
        <v>1650</v>
      </c>
      <c r="G113" s="41" t="s">
        <v>1830</v>
      </c>
      <c r="H113" s="41">
        <v>1100</v>
      </c>
      <c r="I113" s="41" t="s">
        <v>1650</v>
      </c>
      <c r="J113" s="41" t="s">
        <v>1877</v>
      </c>
      <c r="M113" s="59">
        <v>0.54166666666666663</v>
      </c>
      <c r="N113" s="41">
        <v>20</v>
      </c>
      <c r="O113" s="76">
        <f t="shared" si="1"/>
        <v>120.84999999999991</v>
      </c>
      <c r="Q113" s="43" t="s">
        <v>2032</v>
      </c>
    </row>
    <row r="114" spans="1:17" hidden="1" x14ac:dyDescent="0.25">
      <c r="A114" s="41">
        <v>1</v>
      </c>
      <c r="B114" s="41">
        <v>911</v>
      </c>
      <c r="C114" s="250">
        <v>43456</v>
      </c>
      <c r="D114" s="41" t="s">
        <v>1988</v>
      </c>
      <c r="E114" s="41" t="s">
        <v>532</v>
      </c>
      <c r="F114" s="41" t="s">
        <v>1620</v>
      </c>
      <c r="I114" s="41" t="s">
        <v>1620</v>
      </c>
      <c r="J114" s="41" t="s">
        <v>682</v>
      </c>
      <c r="N114" s="41">
        <v>15</v>
      </c>
      <c r="O114" s="76">
        <f t="shared" si="1"/>
        <v>121.09999999999991</v>
      </c>
      <c r="Q114" s="289" t="s">
        <v>2033</v>
      </c>
    </row>
    <row r="115" spans="1:17" hidden="1" x14ac:dyDescent="0.25">
      <c r="A115" s="41">
        <v>1</v>
      </c>
      <c r="B115" s="41">
        <v>912</v>
      </c>
      <c r="C115" s="250">
        <v>43456</v>
      </c>
      <c r="D115" s="41" t="s">
        <v>1988</v>
      </c>
      <c r="E115" s="41" t="s">
        <v>532</v>
      </c>
      <c r="F115" s="41" t="s">
        <v>1620</v>
      </c>
      <c r="I115" s="41" t="s">
        <v>1620</v>
      </c>
      <c r="J115" s="41" t="s">
        <v>682</v>
      </c>
      <c r="N115" s="41">
        <v>15</v>
      </c>
      <c r="O115" s="76">
        <f t="shared" si="1"/>
        <v>121.34999999999991</v>
      </c>
      <c r="Q115" s="289"/>
    </row>
    <row r="116" spans="1:17" hidden="1" x14ac:dyDescent="0.25">
      <c r="A116" s="41">
        <v>1</v>
      </c>
      <c r="B116" s="41">
        <v>913</v>
      </c>
      <c r="C116" s="250">
        <v>43456</v>
      </c>
      <c r="D116" s="41" t="s">
        <v>1988</v>
      </c>
      <c r="E116" s="41" t="s">
        <v>532</v>
      </c>
      <c r="F116" s="41" t="s">
        <v>1620</v>
      </c>
      <c r="I116" s="41" t="s">
        <v>1620</v>
      </c>
      <c r="J116" s="41" t="s">
        <v>682</v>
      </c>
      <c r="N116" s="41">
        <v>30</v>
      </c>
      <c r="O116" s="76">
        <f t="shared" si="1"/>
        <v>121.84999999999991</v>
      </c>
      <c r="Q116" s="289"/>
    </row>
    <row r="117" spans="1:17" hidden="1" x14ac:dyDescent="0.25">
      <c r="A117" s="41">
        <v>1</v>
      </c>
      <c r="B117" s="41">
        <v>914</v>
      </c>
      <c r="C117" s="250">
        <v>43456</v>
      </c>
      <c r="D117" s="41" t="s">
        <v>1988</v>
      </c>
      <c r="E117" s="41" t="s">
        <v>532</v>
      </c>
      <c r="F117" s="41" t="s">
        <v>1620</v>
      </c>
      <c r="I117" s="41" t="s">
        <v>1620</v>
      </c>
      <c r="J117" s="41" t="s">
        <v>682</v>
      </c>
      <c r="N117" s="41">
        <v>15</v>
      </c>
      <c r="O117" s="76">
        <f t="shared" si="1"/>
        <v>122.09999999999991</v>
      </c>
      <c r="Q117" s="289"/>
    </row>
    <row r="118" spans="1:17" ht="31.2" hidden="1" x14ac:dyDescent="0.25">
      <c r="A118" s="41">
        <v>6</v>
      </c>
      <c r="B118" s="41">
        <v>920</v>
      </c>
      <c r="C118" s="250">
        <v>43457</v>
      </c>
      <c r="D118" s="41" t="s">
        <v>1988</v>
      </c>
      <c r="E118" s="41" t="s">
        <v>532</v>
      </c>
      <c r="F118" s="41" t="s">
        <v>1620</v>
      </c>
      <c r="I118" s="41" t="s">
        <v>1620</v>
      </c>
      <c r="J118" s="41" t="s">
        <v>682</v>
      </c>
      <c r="N118" s="41">
        <v>72</v>
      </c>
      <c r="O118" s="76">
        <f t="shared" si="1"/>
        <v>123.29999999999991</v>
      </c>
      <c r="Q118" s="267" t="s">
        <v>2034</v>
      </c>
    </row>
    <row r="119" spans="1:17" ht="21" hidden="1" x14ac:dyDescent="0.25">
      <c r="A119" s="41">
        <v>1</v>
      </c>
      <c r="B119" s="41">
        <v>921</v>
      </c>
      <c r="C119" s="250">
        <v>43458</v>
      </c>
      <c r="D119" s="41" t="s">
        <v>1988</v>
      </c>
      <c r="E119" s="41" t="s">
        <v>532</v>
      </c>
      <c r="F119" s="41" t="s">
        <v>2035</v>
      </c>
      <c r="G119" s="41" t="s">
        <v>1830</v>
      </c>
      <c r="H119" s="41">
        <v>800</v>
      </c>
      <c r="I119" s="41" t="s">
        <v>1620</v>
      </c>
      <c r="J119" s="41" t="s">
        <v>1877</v>
      </c>
      <c r="N119" s="41">
        <v>40</v>
      </c>
      <c r="O119" s="76">
        <f t="shared" si="1"/>
        <v>123.96666666666658</v>
      </c>
      <c r="Q119" s="43" t="s">
        <v>2036</v>
      </c>
    </row>
    <row r="120" spans="1:17" hidden="1" x14ac:dyDescent="0.25">
      <c r="A120" s="41">
        <v>3</v>
      </c>
      <c r="B120" s="41">
        <v>924</v>
      </c>
      <c r="C120" s="250">
        <v>43459</v>
      </c>
      <c r="D120" s="41" t="s">
        <v>1988</v>
      </c>
      <c r="E120" s="41" t="s">
        <v>532</v>
      </c>
      <c r="F120" s="41" t="s">
        <v>1620</v>
      </c>
      <c r="I120" s="41" t="s">
        <v>1620</v>
      </c>
      <c r="N120" s="41">
        <v>36</v>
      </c>
      <c r="O120" s="76">
        <f t="shared" si="1"/>
        <v>124.56666666666658</v>
      </c>
      <c r="Q120" s="43" t="s">
        <v>2037</v>
      </c>
    </row>
    <row r="121" spans="1:17" hidden="1" x14ac:dyDescent="0.25">
      <c r="A121" s="41">
        <v>1</v>
      </c>
      <c r="B121" s="41">
        <v>925</v>
      </c>
      <c r="C121" s="250">
        <v>43459</v>
      </c>
      <c r="D121" s="41" t="s">
        <v>1988</v>
      </c>
      <c r="E121" s="41" t="s">
        <v>532</v>
      </c>
      <c r="F121" s="41" t="s">
        <v>1620</v>
      </c>
      <c r="I121" s="41" t="s">
        <v>1620</v>
      </c>
      <c r="N121" s="41">
        <v>15</v>
      </c>
      <c r="O121" s="76">
        <f t="shared" si="1"/>
        <v>124.81666666666658</v>
      </c>
      <c r="Q121" s="43" t="s">
        <v>2038</v>
      </c>
    </row>
    <row r="122" spans="1:17" ht="21" hidden="1" x14ac:dyDescent="0.25">
      <c r="A122" s="41">
        <v>1</v>
      </c>
      <c r="B122" s="41">
        <v>926</v>
      </c>
      <c r="C122" s="250">
        <v>43459</v>
      </c>
      <c r="D122" s="41" t="s">
        <v>1988</v>
      </c>
      <c r="E122" s="41" t="s">
        <v>532</v>
      </c>
      <c r="F122" s="41" t="s">
        <v>1620</v>
      </c>
      <c r="I122" s="41" t="s">
        <v>1620</v>
      </c>
      <c r="N122" s="41">
        <v>15</v>
      </c>
      <c r="O122" s="76">
        <f t="shared" si="1"/>
        <v>125.06666666666658</v>
      </c>
      <c r="Q122" s="43" t="s">
        <v>2039</v>
      </c>
    </row>
    <row r="123" spans="1:17" hidden="1" x14ac:dyDescent="0.25">
      <c r="A123" s="41">
        <v>3</v>
      </c>
      <c r="B123" s="41">
        <v>929</v>
      </c>
      <c r="C123" s="250">
        <v>43460</v>
      </c>
      <c r="D123" s="41" t="s">
        <v>1988</v>
      </c>
      <c r="E123" s="41" t="s">
        <v>532</v>
      </c>
      <c r="F123" s="41" t="s">
        <v>1620</v>
      </c>
      <c r="I123" s="41" t="s">
        <v>1620</v>
      </c>
      <c r="N123" s="41">
        <v>40</v>
      </c>
      <c r="O123" s="76">
        <f t="shared" si="1"/>
        <v>125.73333333333325</v>
      </c>
    </row>
    <row r="124" spans="1:17" ht="21" hidden="1" x14ac:dyDescent="0.25">
      <c r="A124" s="41">
        <v>1</v>
      </c>
      <c r="B124" s="41">
        <v>930</v>
      </c>
      <c r="C124" s="250">
        <v>43460</v>
      </c>
      <c r="D124" s="41" t="s">
        <v>1988</v>
      </c>
      <c r="E124" s="41" t="s">
        <v>532</v>
      </c>
      <c r="F124" s="41" t="s">
        <v>1620</v>
      </c>
      <c r="I124" s="41" t="s">
        <v>1620</v>
      </c>
      <c r="N124" s="41">
        <v>38</v>
      </c>
      <c r="O124" s="76">
        <f t="shared" si="1"/>
        <v>126.36666666666659</v>
      </c>
      <c r="Q124" s="43" t="s">
        <v>2041</v>
      </c>
    </row>
    <row r="125" spans="1:17" ht="21" hidden="1" x14ac:dyDescent="0.25">
      <c r="A125" s="41">
        <v>1</v>
      </c>
      <c r="B125" s="41">
        <v>931</v>
      </c>
      <c r="C125" s="250">
        <v>43461</v>
      </c>
      <c r="D125" s="41" t="s">
        <v>1988</v>
      </c>
      <c r="E125" s="41" t="s">
        <v>532</v>
      </c>
      <c r="F125" s="41" t="s">
        <v>2035</v>
      </c>
      <c r="G125" s="41" t="s">
        <v>1830</v>
      </c>
      <c r="H125" s="41">
        <v>800</v>
      </c>
      <c r="I125" s="41" t="s">
        <v>1620</v>
      </c>
      <c r="N125" s="41">
        <v>53</v>
      </c>
      <c r="O125" s="76">
        <f t="shared" si="1"/>
        <v>127.24999999999993</v>
      </c>
      <c r="Q125" s="43" t="s">
        <v>2040</v>
      </c>
    </row>
    <row r="126" spans="1:17" ht="41.4" x14ac:dyDescent="0.25">
      <c r="A126" s="41">
        <v>1</v>
      </c>
      <c r="B126" s="41">
        <v>932</v>
      </c>
      <c r="C126" s="250">
        <v>43462</v>
      </c>
      <c r="D126" s="41" t="s">
        <v>1797</v>
      </c>
      <c r="E126" s="41" t="s">
        <v>532</v>
      </c>
      <c r="F126" s="41" t="s">
        <v>1620</v>
      </c>
      <c r="I126" s="41" t="s">
        <v>1620</v>
      </c>
      <c r="N126" s="41">
        <v>13</v>
      </c>
      <c r="O126" s="76">
        <f t="shared" si="1"/>
        <v>127.4666666666666</v>
      </c>
      <c r="Q126" s="43" t="s">
        <v>2088</v>
      </c>
    </row>
    <row r="127" spans="1:17" x14ac:dyDescent="0.25">
      <c r="A127" s="41">
        <v>1</v>
      </c>
      <c r="B127" s="41">
        <v>933</v>
      </c>
      <c r="C127" s="250">
        <v>43462</v>
      </c>
      <c r="D127" s="41" t="s">
        <v>1797</v>
      </c>
      <c r="E127" s="41" t="s">
        <v>532</v>
      </c>
      <c r="F127" s="41" t="s">
        <v>1620</v>
      </c>
      <c r="I127" s="41" t="s">
        <v>1620</v>
      </c>
      <c r="N127" s="41">
        <v>26</v>
      </c>
      <c r="O127" s="76">
        <f t="shared" si="1"/>
        <v>127.89999999999993</v>
      </c>
      <c r="Q127" s="43" t="s">
        <v>2042</v>
      </c>
    </row>
    <row r="128" spans="1:17" ht="51.6" x14ac:dyDescent="0.25">
      <c r="A128" s="41">
        <v>1</v>
      </c>
      <c r="B128" s="41">
        <v>934</v>
      </c>
      <c r="C128" s="250">
        <v>43462</v>
      </c>
      <c r="D128" s="41" t="s">
        <v>1797</v>
      </c>
      <c r="E128" s="41" t="s">
        <v>532</v>
      </c>
      <c r="F128" s="41" t="s">
        <v>1620</v>
      </c>
      <c r="I128" s="41" t="s">
        <v>1620</v>
      </c>
      <c r="N128" s="41">
        <v>70</v>
      </c>
      <c r="O128" s="76">
        <f t="shared" si="1"/>
        <v>129.06666666666661</v>
      </c>
      <c r="Q128" s="43" t="s">
        <v>2043</v>
      </c>
    </row>
  </sheetData>
  <autoFilter ref="A1:R128">
    <filterColumn colId="3">
      <filters>
        <filter val="Nevada 2 - 24"/>
      </filters>
    </filterColumn>
  </autoFilter>
  <mergeCells count="1">
    <mergeCell ref="Q114:Q117"/>
  </mergeCells>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F36"/>
  <sheetViews>
    <sheetView zoomScaleNormal="100" workbookViewId="0">
      <selection activeCell="P24" sqref="P24"/>
    </sheetView>
  </sheetViews>
  <sheetFormatPr baseColWidth="10" defaultColWidth="8.88671875" defaultRowHeight="13.2" x14ac:dyDescent="0.25"/>
  <cols>
    <col min="1" max="1" width="3.109375" style="72" customWidth="1"/>
    <col min="2" max="2" width="2.33203125" style="234" customWidth="1"/>
    <col min="3" max="3" width="8.88671875" customWidth="1"/>
    <col min="4" max="4" width="16.21875" style="136" customWidth="1"/>
    <col min="5" max="5" width="3.109375" style="72" customWidth="1"/>
    <col min="6" max="6" width="2.33203125" style="234" customWidth="1"/>
    <col min="7" max="7" width="8.88671875" customWidth="1"/>
    <col min="8" max="8" width="12" style="136" bestFit="1" customWidth="1"/>
    <col min="9" max="9" width="3.109375" style="72" customWidth="1"/>
    <col min="10" max="10" width="2.33203125" style="234" customWidth="1"/>
    <col min="11" max="11" width="8.88671875" style="136" customWidth="1"/>
    <col min="12" max="12" width="9.77734375" style="136" bestFit="1" customWidth="1"/>
    <col min="13" max="13" width="3.109375" style="72" customWidth="1"/>
    <col min="14" max="14" width="2.33203125" style="234" customWidth="1"/>
    <col min="15" max="15" width="8.88671875" style="136" customWidth="1"/>
    <col min="16" max="16" width="9.33203125" style="136" bestFit="1" customWidth="1"/>
    <col min="17" max="17" width="3.109375" style="72" customWidth="1"/>
    <col min="18" max="18" width="2.33203125" style="234" customWidth="1"/>
    <col min="19" max="19" width="8.88671875" style="136" customWidth="1"/>
    <col min="20" max="20" width="6.77734375" style="136" customWidth="1"/>
    <col min="21" max="21" width="3.109375" customWidth="1"/>
    <col min="22" max="22" width="2.33203125" style="136" customWidth="1"/>
    <col min="23" max="23" width="8.88671875" style="136" customWidth="1"/>
    <col min="24" max="24" width="6.77734375" style="136" customWidth="1"/>
    <col min="25" max="25" width="3.109375" customWidth="1"/>
    <col min="26" max="26" width="2.33203125" style="136" customWidth="1"/>
    <col min="27" max="27" width="8.88671875" style="136" customWidth="1"/>
    <col min="28" max="28" width="14.77734375" style="136" customWidth="1"/>
    <col min="29" max="29" width="3.109375" customWidth="1"/>
    <col min="30" max="30" width="2.33203125" style="136" customWidth="1"/>
    <col min="31" max="31" width="8.88671875" style="136" customWidth="1"/>
    <col min="32" max="32" width="14.77734375" style="136" customWidth="1"/>
    <col min="253" max="254" width="3.109375" customWidth="1"/>
    <col min="256" max="256" width="3.109375" customWidth="1"/>
    <col min="257" max="257" width="2.33203125" customWidth="1"/>
    <col min="259" max="259" width="3.109375" customWidth="1"/>
    <col min="260" max="260" width="2.33203125" customWidth="1"/>
    <col min="262" max="262" width="3.109375" customWidth="1"/>
    <col min="263" max="263" width="2.33203125" customWidth="1"/>
    <col min="265" max="265" width="3.109375" customWidth="1"/>
    <col min="266" max="266" width="2.33203125" customWidth="1"/>
    <col min="268" max="268" width="3.109375" customWidth="1"/>
    <col min="269" max="269" width="2.33203125" customWidth="1"/>
    <col min="271" max="271" width="3.109375" customWidth="1"/>
    <col min="272" max="272" width="2.33203125" customWidth="1"/>
    <col min="274" max="274" width="3.109375" customWidth="1"/>
    <col min="275" max="275" width="2.33203125" customWidth="1"/>
    <col min="277" max="277" width="3.109375" customWidth="1"/>
    <col min="278" max="278" width="2.33203125" customWidth="1"/>
    <col min="280" max="280" width="3.109375" customWidth="1"/>
    <col min="281" max="281" width="2.33203125" customWidth="1"/>
    <col min="283" max="283" width="3.109375" customWidth="1"/>
    <col min="284" max="284" width="2.33203125" customWidth="1"/>
    <col min="286" max="286" width="3.109375" customWidth="1"/>
    <col min="287" max="287" width="2.33203125" customWidth="1"/>
    <col min="509" max="510" width="3.109375" customWidth="1"/>
    <col min="512" max="512" width="3.109375" customWidth="1"/>
    <col min="513" max="513" width="2.33203125" customWidth="1"/>
    <col min="515" max="515" width="3.109375" customWidth="1"/>
    <col min="516" max="516" width="2.33203125" customWidth="1"/>
    <col min="518" max="518" width="3.109375" customWidth="1"/>
    <col min="519" max="519" width="2.33203125" customWidth="1"/>
    <col min="521" max="521" width="3.109375" customWidth="1"/>
    <col min="522" max="522" width="2.33203125" customWidth="1"/>
    <col min="524" max="524" width="3.109375" customWidth="1"/>
    <col min="525" max="525" width="2.33203125" customWidth="1"/>
    <col min="527" max="527" width="3.109375" customWidth="1"/>
    <col min="528" max="528" width="2.33203125" customWidth="1"/>
    <col min="530" max="530" width="3.109375" customWidth="1"/>
    <col min="531" max="531" width="2.33203125" customWidth="1"/>
    <col min="533" max="533" width="3.109375" customWidth="1"/>
    <col min="534" max="534" width="2.33203125" customWidth="1"/>
    <col min="536" max="536" width="3.109375" customWidth="1"/>
    <col min="537" max="537" width="2.33203125" customWidth="1"/>
    <col min="539" max="539" width="3.109375" customWidth="1"/>
    <col min="540" max="540" width="2.33203125" customWidth="1"/>
    <col min="542" max="542" width="3.109375" customWidth="1"/>
    <col min="543" max="543" width="2.33203125" customWidth="1"/>
    <col min="765" max="766" width="3.109375" customWidth="1"/>
    <col min="768" max="768" width="3.109375" customWidth="1"/>
    <col min="769" max="769" width="2.33203125" customWidth="1"/>
    <col min="771" max="771" width="3.109375" customWidth="1"/>
    <col min="772" max="772" width="2.33203125" customWidth="1"/>
    <col min="774" max="774" width="3.109375" customWidth="1"/>
    <col min="775" max="775" width="2.33203125" customWidth="1"/>
    <col min="777" max="777" width="3.109375" customWidth="1"/>
    <col min="778" max="778" width="2.33203125" customWidth="1"/>
    <col min="780" max="780" width="3.109375" customWidth="1"/>
    <col min="781" max="781" width="2.33203125" customWidth="1"/>
    <col min="783" max="783" width="3.109375" customWidth="1"/>
    <col min="784" max="784" width="2.33203125" customWidth="1"/>
    <col min="786" max="786" width="3.109375" customWidth="1"/>
    <col min="787" max="787" width="2.33203125" customWidth="1"/>
    <col min="789" max="789" width="3.109375" customWidth="1"/>
    <col min="790" max="790" width="2.33203125" customWidth="1"/>
    <col min="792" max="792" width="3.109375" customWidth="1"/>
    <col min="793" max="793" width="2.33203125" customWidth="1"/>
    <col min="795" max="795" width="3.109375" customWidth="1"/>
    <col min="796" max="796" width="2.33203125" customWidth="1"/>
    <col min="798" max="798" width="3.109375" customWidth="1"/>
    <col min="799" max="799" width="2.33203125" customWidth="1"/>
    <col min="1021" max="1022" width="3.109375" customWidth="1"/>
    <col min="1024" max="1024" width="3.109375" customWidth="1"/>
    <col min="1025" max="1025" width="2.33203125" customWidth="1"/>
    <col min="1027" max="1027" width="3.109375" customWidth="1"/>
    <col min="1028" max="1028" width="2.33203125" customWidth="1"/>
    <col min="1030" max="1030" width="3.109375" customWidth="1"/>
    <col min="1031" max="1031" width="2.33203125" customWidth="1"/>
    <col min="1033" max="1033" width="3.109375" customWidth="1"/>
    <col min="1034" max="1034" width="2.33203125" customWidth="1"/>
    <col min="1036" max="1036" width="3.109375" customWidth="1"/>
    <col min="1037" max="1037" width="2.33203125" customWidth="1"/>
    <col min="1039" max="1039" width="3.109375" customWidth="1"/>
    <col min="1040" max="1040" width="2.33203125" customWidth="1"/>
    <col min="1042" max="1042" width="3.109375" customWidth="1"/>
    <col min="1043" max="1043" width="2.33203125" customWidth="1"/>
    <col min="1045" max="1045" width="3.109375" customWidth="1"/>
    <col min="1046" max="1046" width="2.33203125" customWidth="1"/>
    <col min="1048" max="1048" width="3.109375" customWidth="1"/>
    <col min="1049" max="1049" width="2.33203125" customWidth="1"/>
    <col min="1051" max="1051" width="3.109375" customWidth="1"/>
    <col min="1052" max="1052" width="2.33203125" customWidth="1"/>
    <col min="1054" max="1054" width="3.109375" customWidth="1"/>
    <col min="1055" max="1055" width="2.33203125" customWidth="1"/>
    <col min="1277" max="1278" width="3.109375" customWidth="1"/>
    <col min="1280" max="1280" width="3.109375" customWidth="1"/>
    <col min="1281" max="1281" width="2.33203125" customWidth="1"/>
    <col min="1283" max="1283" width="3.109375" customWidth="1"/>
    <col min="1284" max="1284" width="2.33203125" customWidth="1"/>
    <col min="1286" max="1286" width="3.109375" customWidth="1"/>
    <col min="1287" max="1287" width="2.33203125" customWidth="1"/>
    <col min="1289" max="1289" width="3.109375" customWidth="1"/>
    <col min="1290" max="1290" width="2.33203125" customWidth="1"/>
    <col min="1292" max="1292" width="3.109375" customWidth="1"/>
    <col min="1293" max="1293" width="2.33203125" customWidth="1"/>
    <col min="1295" max="1295" width="3.109375" customWidth="1"/>
    <col min="1296" max="1296" width="2.33203125" customWidth="1"/>
    <col min="1298" max="1298" width="3.109375" customWidth="1"/>
    <col min="1299" max="1299" width="2.33203125" customWidth="1"/>
    <col min="1301" max="1301" width="3.109375" customWidth="1"/>
    <col min="1302" max="1302" width="2.33203125" customWidth="1"/>
    <col min="1304" max="1304" width="3.109375" customWidth="1"/>
    <col min="1305" max="1305" width="2.33203125" customWidth="1"/>
    <col min="1307" max="1307" width="3.109375" customWidth="1"/>
    <col min="1308" max="1308" width="2.33203125" customWidth="1"/>
    <col min="1310" max="1310" width="3.109375" customWidth="1"/>
    <col min="1311" max="1311" width="2.33203125" customWidth="1"/>
    <col min="1533" max="1534" width="3.109375" customWidth="1"/>
    <col min="1536" max="1536" width="3.109375" customWidth="1"/>
    <col min="1537" max="1537" width="2.33203125" customWidth="1"/>
    <col min="1539" max="1539" width="3.109375" customWidth="1"/>
    <col min="1540" max="1540" width="2.33203125" customWidth="1"/>
    <col min="1542" max="1542" width="3.109375" customWidth="1"/>
    <col min="1543" max="1543" width="2.33203125" customWidth="1"/>
    <col min="1545" max="1545" width="3.109375" customWidth="1"/>
    <col min="1546" max="1546" width="2.33203125" customWidth="1"/>
    <col min="1548" max="1548" width="3.109375" customWidth="1"/>
    <col min="1549" max="1549" width="2.33203125" customWidth="1"/>
    <col min="1551" max="1551" width="3.109375" customWidth="1"/>
    <col min="1552" max="1552" width="2.33203125" customWidth="1"/>
    <col min="1554" max="1554" width="3.109375" customWidth="1"/>
    <col min="1555" max="1555" width="2.33203125" customWidth="1"/>
    <col min="1557" max="1557" width="3.109375" customWidth="1"/>
    <col min="1558" max="1558" width="2.33203125" customWidth="1"/>
    <col min="1560" max="1560" width="3.109375" customWidth="1"/>
    <col min="1561" max="1561" width="2.33203125" customWidth="1"/>
    <col min="1563" max="1563" width="3.109375" customWidth="1"/>
    <col min="1564" max="1564" width="2.33203125" customWidth="1"/>
    <col min="1566" max="1566" width="3.109375" customWidth="1"/>
    <col min="1567" max="1567" width="2.33203125" customWidth="1"/>
    <col min="1789" max="1790" width="3.109375" customWidth="1"/>
    <col min="1792" max="1792" width="3.109375" customWidth="1"/>
    <col min="1793" max="1793" width="2.33203125" customWidth="1"/>
    <col min="1795" max="1795" width="3.109375" customWidth="1"/>
    <col min="1796" max="1796" width="2.33203125" customWidth="1"/>
    <col min="1798" max="1798" width="3.109375" customWidth="1"/>
    <col min="1799" max="1799" width="2.33203125" customWidth="1"/>
    <col min="1801" max="1801" width="3.109375" customWidth="1"/>
    <col min="1802" max="1802" width="2.33203125" customWidth="1"/>
    <col min="1804" max="1804" width="3.109375" customWidth="1"/>
    <col min="1805" max="1805" width="2.33203125" customWidth="1"/>
    <col min="1807" max="1807" width="3.109375" customWidth="1"/>
    <col min="1808" max="1808" width="2.33203125" customWidth="1"/>
    <col min="1810" max="1810" width="3.109375" customWidth="1"/>
    <col min="1811" max="1811" width="2.33203125" customWidth="1"/>
    <col min="1813" max="1813" width="3.109375" customWidth="1"/>
    <col min="1814" max="1814" width="2.33203125" customWidth="1"/>
    <col min="1816" max="1816" width="3.109375" customWidth="1"/>
    <col min="1817" max="1817" width="2.33203125" customWidth="1"/>
    <col min="1819" max="1819" width="3.109375" customWidth="1"/>
    <col min="1820" max="1820" width="2.33203125" customWidth="1"/>
    <col min="1822" max="1822" width="3.109375" customWidth="1"/>
    <col min="1823" max="1823" width="2.33203125" customWidth="1"/>
    <col min="2045" max="2046" width="3.109375" customWidth="1"/>
    <col min="2048" max="2048" width="3.109375" customWidth="1"/>
    <col min="2049" max="2049" width="2.33203125" customWidth="1"/>
    <col min="2051" max="2051" width="3.109375" customWidth="1"/>
    <col min="2052" max="2052" width="2.33203125" customWidth="1"/>
    <col min="2054" max="2054" width="3.109375" customWidth="1"/>
    <col min="2055" max="2055" width="2.33203125" customWidth="1"/>
    <col min="2057" max="2057" width="3.109375" customWidth="1"/>
    <col min="2058" max="2058" width="2.33203125" customWidth="1"/>
    <col min="2060" max="2060" width="3.109375" customWidth="1"/>
    <col min="2061" max="2061" width="2.33203125" customWidth="1"/>
    <col min="2063" max="2063" width="3.109375" customWidth="1"/>
    <col min="2064" max="2064" width="2.33203125" customWidth="1"/>
    <col min="2066" max="2066" width="3.109375" customWidth="1"/>
    <col min="2067" max="2067" width="2.33203125" customWidth="1"/>
    <col min="2069" max="2069" width="3.109375" customWidth="1"/>
    <col min="2070" max="2070" width="2.33203125" customWidth="1"/>
    <col min="2072" max="2072" width="3.109375" customWidth="1"/>
    <col min="2073" max="2073" width="2.33203125" customWidth="1"/>
    <col min="2075" max="2075" width="3.109375" customWidth="1"/>
    <col min="2076" max="2076" width="2.33203125" customWidth="1"/>
    <col min="2078" max="2078" width="3.109375" customWidth="1"/>
    <col min="2079" max="2079" width="2.33203125" customWidth="1"/>
    <col min="2301" max="2302" width="3.109375" customWidth="1"/>
    <col min="2304" max="2304" width="3.109375" customWidth="1"/>
    <col min="2305" max="2305" width="2.33203125" customWidth="1"/>
    <col min="2307" max="2307" width="3.109375" customWidth="1"/>
    <col min="2308" max="2308" width="2.33203125" customWidth="1"/>
    <col min="2310" max="2310" width="3.109375" customWidth="1"/>
    <col min="2311" max="2311" width="2.33203125" customWidth="1"/>
    <col min="2313" max="2313" width="3.109375" customWidth="1"/>
    <col min="2314" max="2314" width="2.33203125" customWidth="1"/>
    <col min="2316" max="2316" width="3.109375" customWidth="1"/>
    <col min="2317" max="2317" width="2.33203125" customWidth="1"/>
    <col min="2319" max="2319" width="3.109375" customWidth="1"/>
    <col min="2320" max="2320" width="2.33203125" customWidth="1"/>
    <col min="2322" max="2322" width="3.109375" customWidth="1"/>
    <col min="2323" max="2323" width="2.33203125" customWidth="1"/>
    <col min="2325" max="2325" width="3.109375" customWidth="1"/>
    <col min="2326" max="2326" width="2.33203125" customWidth="1"/>
    <col min="2328" max="2328" width="3.109375" customWidth="1"/>
    <col min="2329" max="2329" width="2.33203125" customWidth="1"/>
    <col min="2331" max="2331" width="3.109375" customWidth="1"/>
    <col min="2332" max="2332" width="2.33203125" customWidth="1"/>
    <col min="2334" max="2334" width="3.109375" customWidth="1"/>
    <col min="2335" max="2335" width="2.33203125" customWidth="1"/>
    <col min="2557" max="2558" width="3.109375" customWidth="1"/>
    <col min="2560" max="2560" width="3.109375" customWidth="1"/>
    <col min="2561" max="2561" width="2.33203125" customWidth="1"/>
    <col min="2563" max="2563" width="3.109375" customWidth="1"/>
    <col min="2564" max="2564" width="2.33203125" customWidth="1"/>
    <col min="2566" max="2566" width="3.109375" customWidth="1"/>
    <col min="2567" max="2567" width="2.33203125" customWidth="1"/>
    <col min="2569" max="2569" width="3.109375" customWidth="1"/>
    <col min="2570" max="2570" width="2.33203125" customWidth="1"/>
    <col min="2572" max="2572" width="3.109375" customWidth="1"/>
    <col min="2573" max="2573" width="2.33203125" customWidth="1"/>
    <col min="2575" max="2575" width="3.109375" customWidth="1"/>
    <col min="2576" max="2576" width="2.33203125" customWidth="1"/>
    <col min="2578" max="2578" width="3.109375" customWidth="1"/>
    <col min="2579" max="2579" width="2.33203125" customWidth="1"/>
    <col min="2581" max="2581" width="3.109375" customWidth="1"/>
    <col min="2582" max="2582" width="2.33203125" customWidth="1"/>
    <col min="2584" max="2584" width="3.109375" customWidth="1"/>
    <col min="2585" max="2585" width="2.33203125" customWidth="1"/>
    <col min="2587" max="2587" width="3.109375" customWidth="1"/>
    <col min="2588" max="2588" width="2.33203125" customWidth="1"/>
    <col min="2590" max="2590" width="3.109375" customWidth="1"/>
    <col min="2591" max="2591" width="2.33203125" customWidth="1"/>
    <col min="2813" max="2814" width="3.109375" customWidth="1"/>
    <col min="2816" max="2816" width="3.109375" customWidth="1"/>
    <col min="2817" max="2817" width="2.33203125" customWidth="1"/>
    <col min="2819" max="2819" width="3.109375" customWidth="1"/>
    <col min="2820" max="2820" width="2.33203125" customWidth="1"/>
    <col min="2822" max="2822" width="3.109375" customWidth="1"/>
    <col min="2823" max="2823" width="2.33203125" customWidth="1"/>
    <col min="2825" max="2825" width="3.109375" customWidth="1"/>
    <col min="2826" max="2826" width="2.33203125" customWidth="1"/>
    <col min="2828" max="2828" width="3.109375" customWidth="1"/>
    <col min="2829" max="2829" width="2.33203125" customWidth="1"/>
    <col min="2831" max="2831" width="3.109375" customWidth="1"/>
    <col min="2832" max="2832" width="2.33203125" customWidth="1"/>
    <col min="2834" max="2834" width="3.109375" customWidth="1"/>
    <col min="2835" max="2835" width="2.33203125" customWidth="1"/>
    <col min="2837" max="2837" width="3.109375" customWidth="1"/>
    <col min="2838" max="2838" width="2.33203125" customWidth="1"/>
    <col min="2840" max="2840" width="3.109375" customWidth="1"/>
    <col min="2841" max="2841" width="2.33203125" customWidth="1"/>
    <col min="2843" max="2843" width="3.109375" customWidth="1"/>
    <col min="2844" max="2844" width="2.33203125" customWidth="1"/>
    <col min="2846" max="2846" width="3.109375" customWidth="1"/>
    <col min="2847" max="2847" width="2.33203125" customWidth="1"/>
    <col min="3069" max="3070" width="3.109375" customWidth="1"/>
    <col min="3072" max="3072" width="3.109375" customWidth="1"/>
    <col min="3073" max="3073" width="2.33203125" customWidth="1"/>
    <col min="3075" max="3075" width="3.109375" customWidth="1"/>
    <col min="3076" max="3076" width="2.33203125" customWidth="1"/>
    <col min="3078" max="3078" width="3.109375" customWidth="1"/>
    <col min="3079" max="3079" width="2.33203125" customWidth="1"/>
    <col min="3081" max="3081" width="3.109375" customWidth="1"/>
    <col min="3082" max="3082" width="2.33203125" customWidth="1"/>
    <col min="3084" max="3084" width="3.109375" customWidth="1"/>
    <col min="3085" max="3085" width="2.33203125" customWidth="1"/>
    <col min="3087" max="3087" width="3.109375" customWidth="1"/>
    <col min="3088" max="3088" width="2.33203125" customWidth="1"/>
    <col min="3090" max="3090" width="3.109375" customWidth="1"/>
    <col min="3091" max="3091" width="2.33203125" customWidth="1"/>
    <col min="3093" max="3093" width="3.109375" customWidth="1"/>
    <col min="3094" max="3094" width="2.33203125" customWidth="1"/>
    <col min="3096" max="3096" width="3.109375" customWidth="1"/>
    <col min="3097" max="3097" width="2.33203125" customWidth="1"/>
    <col min="3099" max="3099" width="3.109375" customWidth="1"/>
    <col min="3100" max="3100" width="2.33203125" customWidth="1"/>
    <col min="3102" max="3102" width="3.109375" customWidth="1"/>
    <col min="3103" max="3103" width="2.33203125" customWidth="1"/>
    <col min="3325" max="3326" width="3.109375" customWidth="1"/>
    <col min="3328" max="3328" width="3.109375" customWidth="1"/>
    <col min="3329" max="3329" width="2.33203125" customWidth="1"/>
    <col min="3331" max="3331" width="3.109375" customWidth="1"/>
    <col min="3332" max="3332" width="2.33203125" customWidth="1"/>
    <col min="3334" max="3334" width="3.109375" customWidth="1"/>
    <col min="3335" max="3335" width="2.33203125" customWidth="1"/>
    <col min="3337" max="3337" width="3.109375" customWidth="1"/>
    <col min="3338" max="3338" width="2.33203125" customWidth="1"/>
    <col min="3340" max="3340" width="3.109375" customWidth="1"/>
    <col min="3341" max="3341" width="2.33203125" customWidth="1"/>
    <col min="3343" max="3343" width="3.109375" customWidth="1"/>
    <col min="3344" max="3344" width="2.33203125" customWidth="1"/>
    <col min="3346" max="3346" width="3.109375" customWidth="1"/>
    <col min="3347" max="3347" width="2.33203125" customWidth="1"/>
    <col min="3349" max="3349" width="3.109375" customWidth="1"/>
    <col min="3350" max="3350" width="2.33203125" customWidth="1"/>
    <col min="3352" max="3352" width="3.109375" customWidth="1"/>
    <col min="3353" max="3353" width="2.33203125" customWidth="1"/>
    <col min="3355" max="3355" width="3.109375" customWidth="1"/>
    <col min="3356" max="3356" width="2.33203125" customWidth="1"/>
    <col min="3358" max="3358" width="3.109375" customWidth="1"/>
    <col min="3359" max="3359" width="2.33203125" customWidth="1"/>
    <col min="3581" max="3582" width="3.109375" customWidth="1"/>
    <col min="3584" max="3584" width="3.109375" customWidth="1"/>
    <col min="3585" max="3585" width="2.33203125" customWidth="1"/>
    <col min="3587" max="3587" width="3.109375" customWidth="1"/>
    <col min="3588" max="3588" width="2.33203125" customWidth="1"/>
    <col min="3590" max="3590" width="3.109375" customWidth="1"/>
    <col min="3591" max="3591" width="2.33203125" customWidth="1"/>
    <col min="3593" max="3593" width="3.109375" customWidth="1"/>
    <col min="3594" max="3594" width="2.33203125" customWidth="1"/>
    <col min="3596" max="3596" width="3.109375" customWidth="1"/>
    <col min="3597" max="3597" width="2.33203125" customWidth="1"/>
    <col min="3599" max="3599" width="3.109375" customWidth="1"/>
    <col min="3600" max="3600" width="2.33203125" customWidth="1"/>
    <col min="3602" max="3602" width="3.109375" customWidth="1"/>
    <col min="3603" max="3603" width="2.33203125" customWidth="1"/>
    <col min="3605" max="3605" width="3.109375" customWidth="1"/>
    <col min="3606" max="3606" width="2.33203125" customWidth="1"/>
    <col min="3608" max="3608" width="3.109375" customWidth="1"/>
    <col min="3609" max="3609" width="2.33203125" customWidth="1"/>
    <col min="3611" max="3611" width="3.109375" customWidth="1"/>
    <col min="3612" max="3612" width="2.33203125" customWidth="1"/>
    <col min="3614" max="3614" width="3.109375" customWidth="1"/>
    <col min="3615" max="3615" width="2.33203125" customWidth="1"/>
    <col min="3837" max="3838" width="3.109375" customWidth="1"/>
    <col min="3840" max="3840" width="3.109375" customWidth="1"/>
    <col min="3841" max="3841" width="2.33203125" customWidth="1"/>
    <col min="3843" max="3843" width="3.109375" customWidth="1"/>
    <col min="3844" max="3844" width="2.33203125" customWidth="1"/>
    <col min="3846" max="3846" width="3.109375" customWidth="1"/>
    <col min="3847" max="3847" width="2.33203125" customWidth="1"/>
    <col min="3849" max="3849" width="3.109375" customWidth="1"/>
    <col min="3850" max="3850" width="2.33203125" customWidth="1"/>
    <col min="3852" max="3852" width="3.109375" customWidth="1"/>
    <col min="3853" max="3853" width="2.33203125" customWidth="1"/>
    <col min="3855" max="3855" width="3.109375" customWidth="1"/>
    <col min="3856" max="3856" width="2.33203125" customWidth="1"/>
    <col min="3858" max="3858" width="3.109375" customWidth="1"/>
    <col min="3859" max="3859" width="2.33203125" customWidth="1"/>
    <col min="3861" max="3861" width="3.109375" customWidth="1"/>
    <col min="3862" max="3862" width="2.33203125" customWidth="1"/>
    <col min="3864" max="3864" width="3.109375" customWidth="1"/>
    <col min="3865" max="3865" width="2.33203125" customWidth="1"/>
    <col min="3867" max="3867" width="3.109375" customWidth="1"/>
    <col min="3868" max="3868" width="2.33203125" customWidth="1"/>
    <col min="3870" max="3870" width="3.109375" customWidth="1"/>
    <col min="3871" max="3871" width="2.33203125" customWidth="1"/>
    <col min="4093" max="4094" width="3.109375" customWidth="1"/>
    <col min="4096" max="4096" width="3.109375" customWidth="1"/>
    <col min="4097" max="4097" width="2.33203125" customWidth="1"/>
    <col min="4099" max="4099" width="3.109375" customWidth="1"/>
    <col min="4100" max="4100" width="2.33203125" customWidth="1"/>
    <col min="4102" max="4102" width="3.109375" customWidth="1"/>
    <col min="4103" max="4103" width="2.33203125" customWidth="1"/>
    <col min="4105" max="4105" width="3.109375" customWidth="1"/>
    <col min="4106" max="4106" width="2.33203125" customWidth="1"/>
    <col min="4108" max="4108" width="3.109375" customWidth="1"/>
    <col min="4109" max="4109" width="2.33203125" customWidth="1"/>
    <col min="4111" max="4111" width="3.109375" customWidth="1"/>
    <col min="4112" max="4112" width="2.33203125" customWidth="1"/>
    <col min="4114" max="4114" width="3.109375" customWidth="1"/>
    <col min="4115" max="4115" width="2.33203125" customWidth="1"/>
    <col min="4117" max="4117" width="3.109375" customWidth="1"/>
    <col min="4118" max="4118" width="2.33203125" customWidth="1"/>
    <col min="4120" max="4120" width="3.109375" customWidth="1"/>
    <col min="4121" max="4121" width="2.33203125" customWidth="1"/>
    <col min="4123" max="4123" width="3.109375" customWidth="1"/>
    <col min="4124" max="4124" width="2.33203125" customWidth="1"/>
    <col min="4126" max="4126" width="3.109375" customWidth="1"/>
    <col min="4127" max="4127" width="2.33203125" customWidth="1"/>
    <col min="4349" max="4350" width="3.109375" customWidth="1"/>
    <col min="4352" max="4352" width="3.109375" customWidth="1"/>
    <col min="4353" max="4353" width="2.33203125" customWidth="1"/>
    <col min="4355" max="4355" width="3.109375" customWidth="1"/>
    <col min="4356" max="4356" width="2.33203125" customWidth="1"/>
    <col min="4358" max="4358" width="3.109375" customWidth="1"/>
    <col min="4359" max="4359" width="2.33203125" customWidth="1"/>
    <col min="4361" max="4361" width="3.109375" customWidth="1"/>
    <col min="4362" max="4362" width="2.33203125" customWidth="1"/>
    <col min="4364" max="4364" width="3.109375" customWidth="1"/>
    <col min="4365" max="4365" width="2.33203125" customWidth="1"/>
    <col min="4367" max="4367" width="3.109375" customWidth="1"/>
    <col min="4368" max="4368" width="2.33203125" customWidth="1"/>
    <col min="4370" max="4370" width="3.109375" customWidth="1"/>
    <col min="4371" max="4371" width="2.33203125" customWidth="1"/>
    <col min="4373" max="4373" width="3.109375" customWidth="1"/>
    <col min="4374" max="4374" width="2.33203125" customWidth="1"/>
    <col min="4376" max="4376" width="3.109375" customWidth="1"/>
    <col min="4377" max="4377" width="2.33203125" customWidth="1"/>
    <col min="4379" max="4379" width="3.109375" customWidth="1"/>
    <col min="4380" max="4380" width="2.33203125" customWidth="1"/>
    <col min="4382" max="4382" width="3.109375" customWidth="1"/>
    <col min="4383" max="4383" width="2.33203125" customWidth="1"/>
    <col min="4605" max="4606" width="3.109375" customWidth="1"/>
    <col min="4608" max="4608" width="3.109375" customWidth="1"/>
    <col min="4609" max="4609" width="2.33203125" customWidth="1"/>
    <col min="4611" max="4611" width="3.109375" customWidth="1"/>
    <col min="4612" max="4612" width="2.33203125" customWidth="1"/>
    <col min="4614" max="4614" width="3.109375" customWidth="1"/>
    <col min="4615" max="4615" width="2.33203125" customWidth="1"/>
    <col min="4617" max="4617" width="3.109375" customWidth="1"/>
    <col min="4618" max="4618" width="2.33203125" customWidth="1"/>
    <col min="4620" max="4620" width="3.109375" customWidth="1"/>
    <col min="4621" max="4621" width="2.33203125" customWidth="1"/>
    <col min="4623" max="4623" width="3.109375" customWidth="1"/>
    <col min="4624" max="4624" width="2.33203125" customWidth="1"/>
    <col min="4626" max="4626" width="3.109375" customWidth="1"/>
    <col min="4627" max="4627" width="2.33203125" customWidth="1"/>
    <col min="4629" max="4629" width="3.109375" customWidth="1"/>
    <col min="4630" max="4630" width="2.33203125" customWidth="1"/>
    <col min="4632" max="4632" width="3.109375" customWidth="1"/>
    <col min="4633" max="4633" width="2.33203125" customWidth="1"/>
    <col min="4635" max="4635" width="3.109375" customWidth="1"/>
    <col min="4636" max="4636" width="2.33203125" customWidth="1"/>
    <col min="4638" max="4638" width="3.109375" customWidth="1"/>
    <col min="4639" max="4639" width="2.33203125" customWidth="1"/>
    <col min="4861" max="4862" width="3.109375" customWidth="1"/>
    <col min="4864" max="4864" width="3.109375" customWidth="1"/>
    <col min="4865" max="4865" width="2.33203125" customWidth="1"/>
    <col min="4867" max="4867" width="3.109375" customWidth="1"/>
    <col min="4868" max="4868" width="2.33203125" customWidth="1"/>
    <col min="4870" max="4870" width="3.109375" customWidth="1"/>
    <col min="4871" max="4871" width="2.33203125" customWidth="1"/>
    <col min="4873" max="4873" width="3.109375" customWidth="1"/>
    <col min="4874" max="4874" width="2.33203125" customWidth="1"/>
    <col min="4876" max="4876" width="3.109375" customWidth="1"/>
    <col min="4877" max="4877" width="2.33203125" customWidth="1"/>
    <col min="4879" max="4879" width="3.109375" customWidth="1"/>
    <col min="4880" max="4880" width="2.33203125" customWidth="1"/>
    <col min="4882" max="4882" width="3.109375" customWidth="1"/>
    <col min="4883" max="4883" width="2.33203125" customWidth="1"/>
    <col min="4885" max="4885" width="3.109375" customWidth="1"/>
    <col min="4886" max="4886" width="2.33203125" customWidth="1"/>
    <col min="4888" max="4888" width="3.109375" customWidth="1"/>
    <col min="4889" max="4889" width="2.33203125" customWidth="1"/>
    <col min="4891" max="4891" width="3.109375" customWidth="1"/>
    <col min="4892" max="4892" width="2.33203125" customWidth="1"/>
    <col min="4894" max="4894" width="3.109375" customWidth="1"/>
    <col min="4895" max="4895" width="2.33203125" customWidth="1"/>
    <col min="5117" max="5118" width="3.109375" customWidth="1"/>
    <col min="5120" max="5120" width="3.109375" customWidth="1"/>
    <col min="5121" max="5121" width="2.33203125" customWidth="1"/>
    <col min="5123" max="5123" width="3.109375" customWidth="1"/>
    <col min="5124" max="5124" width="2.33203125" customWidth="1"/>
    <col min="5126" max="5126" width="3.109375" customWidth="1"/>
    <col min="5127" max="5127" width="2.33203125" customWidth="1"/>
    <col min="5129" max="5129" width="3.109375" customWidth="1"/>
    <col min="5130" max="5130" width="2.33203125" customWidth="1"/>
    <col min="5132" max="5132" width="3.109375" customWidth="1"/>
    <col min="5133" max="5133" width="2.33203125" customWidth="1"/>
    <col min="5135" max="5135" width="3.109375" customWidth="1"/>
    <col min="5136" max="5136" width="2.33203125" customWidth="1"/>
    <col min="5138" max="5138" width="3.109375" customWidth="1"/>
    <col min="5139" max="5139" width="2.33203125" customWidth="1"/>
    <col min="5141" max="5141" width="3.109375" customWidth="1"/>
    <col min="5142" max="5142" width="2.33203125" customWidth="1"/>
    <col min="5144" max="5144" width="3.109375" customWidth="1"/>
    <col min="5145" max="5145" width="2.33203125" customWidth="1"/>
    <col min="5147" max="5147" width="3.109375" customWidth="1"/>
    <col min="5148" max="5148" width="2.33203125" customWidth="1"/>
    <col min="5150" max="5150" width="3.109375" customWidth="1"/>
    <col min="5151" max="5151" width="2.33203125" customWidth="1"/>
    <col min="5373" max="5374" width="3.109375" customWidth="1"/>
    <col min="5376" max="5376" width="3.109375" customWidth="1"/>
    <col min="5377" max="5377" width="2.33203125" customWidth="1"/>
    <col min="5379" max="5379" width="3.109375" customWidth="1"/>
    <col min="5380" max="5380" width="2.33203125" customWidth="1"/>
    <col min="5382" max="5382" width="3.109375" customWidth="1"/>
    <col min="5383" max="5383" width="2.33203125" customWidth="1"/>
    <col min="5385" max="5385" width="3.109375" customWidth="1"/>
    <col min="5386" max="5386" width="2.33203125" customWidth="1"/>
    <col min="5388" max="5388" width="3.109375" customWidth="1"/>
    <col min="5389" max="5389" width="2.33203125" customWidth="1"/>
    <col min="5391" max="5391" width="3.109375" customWidth="1"/>
    <col min="5392" max="5392" width="2.33203125" customWidth="1"/>
    <col min="5394" max="5394" width="3.109375" customWidth="1"/>
    <col min="5395" max="5395" width="2.33203125" customWidth="1"/>
    <col min="5397" max="5397" width="3.109375" customWidth="1"/>
    <col min="5398" max="5398" width="2.33203125" customWidth="1"/>
    <col min="5400" max="5400" width="3.109375" customWidth="1"/>
    <col min="5401" max="5401" width="2.33203125" customWidth="1"/>
    <col min="5403" max="5403" width="3.109375" customWidth="1"/>
    <col min="5404" max="5404" width="2.33203125" customWidth="1"/>
    <col min="5406" max="5406" width="3.109375" customWidth="1"/>
    <col min="5407" max="5407" width="2.33203125" customWidth="1"/>
    <col min="5629" max="5630" width="3.109375" customWidth="1"/>
    <col min="5632" max="5632" width="3.109375" customWidth="1"/>
    <col min="5633" max="5633" width="2.33203125" customWidth="1"/>
    <col min="5635" max="5635" width="3.109375" customWidth="1"/>
    <col min="5636" max="5636" width="2.33203125" customWidth="1"/>
    <col min="5638" max="5638" width="3.109375" customWidth="1"/>
    <col min="5639" max="5639" width="2.33203125" customWidth="1"/>
    <col min="5641" max="5641" width="3.109375" customWidth="1"/>
    <col min="5642" max="5642" width="2.33203125" customWidth="1"/>
    <col min="5644" max="5644" width="3.109375" customWidth="1"/>
    <col min="5645" max="5645" width="2.33203125" customWidth="1"/>
    <col min="5647" max="5647" width="3.109375" customWidth="1"/>
    <col min="5648" max="5648" width="2.33203125" customWidth="1"/>
    <col min="5650" max="5650" width="3.109375" customWidth="1"/>
    <col min="5651" max="5651" width="2.33203125" customWidth="1"/>
    <col min="5653" max="5653" width="3.109375" customWidth="1"/>
    <col min="5654" max="5654" width="2.33203125" customWidth="1"/>
    <col min="5656" max="5656" width="3.109375" customWidth="1"/>
    <col min="5657" max="5657" width="2.33203125" customWidth="1"/>
    <col min="5659" max="5659" width="3.109375" customWidth="1"/>
    <col min="5660" max="5660" width="2.33203125" customWidth="1"/>
    <col min="5662" max="5662" width="3.109375" customWidth="1"/>
    <col min="5663" max="5663" width="2.33203125" customWidth="1"/>
    <col min="5885" max="5886" width="3.109375" customWidth="1"/>
    <col min="5888" max="5888" width="3.109375" customWidth="1"/>
    <col min="5889" max="5889" width="2.33203125" customWidth="1"/>
    <col min="5891" max="5891" width="3.109375" customWidth="1"/>
    <col min="5892" max="5892" width="2.33203125" customWidth="1"/>
    <col min="5894" max="5894" width="3.109375" customWidth="1"/>
    <col min="5895" max="5895" width="2.33203125" customWidth="1"/>
    <col min="5897" max="5897" width="3.109375" customWidth="1"/>
    <col min="5898" max="5898" width="2.33203125" customWidth="1"/>
    <col min="5900" max="5900" width="3.109375" customWidth="1"/>
    <col min="5901" max="5901" width="2.33203125" customWidth="1"/>
    <col min="5903" max="5903" width="3.109375" customWidth="1"/>
    <col min="5904" max="5904" width="2.33203125" customWidth="1"/>
    <col min="5906" max="5906" width="3.109375" customWidth="1"/>
    <col min="5907" max="5907" width="2.33203125" customWidth="1"/>
    <col min="5909" max="5909" width="3.109375" customWidth="1"/>
    <col min="5910" max="5910" width="2.33203125" customWidth="1"/>
    <col min="5912" max="5912" width="3.109375" customWidth="1"/>
    <col min="5913" max="5913" width="2.33203125" customWidth="1"/>
    <col min="5915" max="5915" width="3.109375" customWidth="1"/>
    <col min="5916" max="5916" width="2.33203125" customWidth="1"/>
    <col min="5918" max="5918" width="3.109375" customWidth="1"/>
    <col min="5919" max="5919" width="2.33203125" customWidth="1"/>
    <col min="6141" max="6142" width="3.109375" customWidth="1"/>
    <col min="6144" max="6144" width="3.109375" customWidth="1"/>
    <col min="6145" max="6145" width="2.33203125" customWidth="1"/>
    <col min="6147" max="6147" width="3.109375" customWidth="1"/>
    <col min="6148" max="6148" width="2.33203125" customWidth="1"/>
    <col min="6150" max="6150" width="3.109375" customWidth="1"/>
    <col min="6151" max="6151" width="2.33203125" customWidth="1"/>
    <col min="6153" max="6153" width="3.109375" customWidth="1"/>
    <col min="6154" max="6154" width="2.33203125" customWidth="1"/>
    <col min="6156" max="6156" width="3.109375" customWidth="1"/>
    <col min="6157" max="6157" width="2.33203125" customWidth="1"/>
    <col min="6159" max="6159" width="3.109375" customWidth="1"/>
    <col min="6160" max="6160" width="2.33203125" customWidth="1"/>
    <col min="6162" max="6162" width="3.109375" customWidth="1"/>
    <col min="6163" max="6163" width="2.33203125" customWidth="1"/>
    <col min="6165" max="6165" width="3.109375" customWidth="1"/>
    <col min="6166" max="6166" width="2.33203125" customWidth="1"/>
    <col min="6168" max="6168" width="3.109375" customWidth="1"/>
    <col min="6169" max="6169" width="2.33203125" customWidth="1"/>
    <col min="6171" max="6171" width="3.109375" customWidth="1"/>
    <col min="6172" max="6172" width="2.33203125" customWidth="1"/>
    <col min="6174" max="6174" width="3.109375" customWidth="1"/>
    <col min="6175" max="6175" width="2.33203125" customWidth="1"/>
    <col min="6397" max="6398" width="3.109375" customWidth="1"/>
    <col min="6400" max="6400" width="3.109375" customWidth="1"/>
    <col min="6401" max="6401" width="2.33203125" customWidth="1"/>
    <col min="6403" max="6403" width="3.109375" customWidth="1"/>
    <col min="6404" max="6404" width="2.33203125" customWidth="1"/>
    <col min="6406" max="6406" width="3.109375" customWidth="1"/>
    <col min="6407" max="6407" width="2.33203125" customWidth="1"/>
    <col min="6409" max="6409" width="3.109375" customWidth="1"/>
    <col min="6410" max="6410" width="2.33203125" customWidth="1"/>
    <col min="6412" max="6412" width="3.109375" customWidth="1"/>
    <col min="6413" max="6413" width="2.33203125" customWidth="1"/>
    <col min="6415" max="6415" width="3.109375" customWidth="1"/>
    <col min="6416" max="6416" width="2.33203125" customWidth="1"/>
    <col min="6418" max="6418" width="3.109375" customWidth="1"/>
    <col min="6419" max="6419" width="2.33203125" customWidth="1"/>
    <col min="6421" max="6421" width="3.109375" customWidth="1"/>
    <col min="6422" max="6422" width="2.33203125" customWidth="1"/>
    <col min="6424" max="6424" width="3.109375" customWidth="1"/>
    <col min="6425" max="6425" width="2.33203125" customWidth="1"/>
    <col min="6427" max="6427" width="3.109375" customWidth="1"/>
    <col min="6428" max="6428" width="2.33203125" customWidth="1"/>
    <col min="6430" max="6430" width="3.109375" customWidth="1"/>
    <col min="6431" max="6431" width="2.33203125" customWidth="1"/>
    <col min="6653" max="6654" width="3.109375" customWidth="1"/>
    <col min="6656" max="6656" width="3.109375" customWidth="1"/>
    <col min="6657" max="6657" width="2.33203125" customWidth="1"/>
    <col min="6659" max="6659" width="3.109375" customWidth="1"/>
    <col min="6660" max="6660" width="2.33203125" customWidth="1"/>
    <col min="6662" max="6662" width="3.109375" customWidth="1"/>
    <col min="6663" max="6663" width="2.33203125" customWidth="1"/>
    <col min="6665" max="6665" width="3.109375" customWidth="1"/>
    <col min="6666" max="6666" width="2.33203125" customWidth="1"/>
    <col min="6668" max="6668" width="3.109375" customWidth="1"/>
    <col min="6669" max="6669" width="2.33203125" customWidth="1"/>
    <col min="6671" max="6671" width="3.109375" customWidth="1"/>
    <col min="6672" max="6672" width="2.33203125" customWidth="1"/>
    <col min="6674" max="6674" width="3.109375" customWidth="1"/>
    <col min="6675" max="6675" width="2.33203125" customWidth="1"/>
    <col min="6677" max="6677" width="3.109375" customWidth="1"/>
    <col min="6678" max="6678" width="2.33203125" customWidth="1"/>
    <col min="6680" max="6680" width="3.109375" customWidth="1"/>
    <col min="6681" max="6681" width="2.33203125" customWidth="1"/>
    <col min="6683" max="6683" width="3.109375" customWidth="1"/>
    <col min="6684" max="6684" width="2.33203125" customWidth="1"/>
    <col min="6686" max="6686" width="3.109375" customWidth="1"/>
    <col min="6687" max="6687" width="2.33203125" customWidth="1"/>
    <col min="6909" max="6910" width="3.109375" customWidth="1"/>
    <col min="6912" max="6912" width="3.109375" customWidth="1"/>
    <col min="6913" max="6913" width="2.33203125" customWidth="1"/>
    <col min="6915" max="6915" width="3.109375" customWidth="1"/>
    <col min="6916" max="6916" width="2.33203125" customWidth="1"/>
    <col min="6918" max="6918" width="3.109375" customWidth="1"/>
    <col min="6919" max="6919" width="2.33203125" customWidth="1"/>
    <col min="6921" max="6921" width="3.109375" customWidth="1"/>
    <col min="6922" max="6922" width="2.33203125" customWidth="1"/>
    <col min="6924" max="6924" width="3.109375" customWidth="1"/>
    <col min="6925" max="6925" width="2.33203125" customWidth="1"/>
    <col min="6927" max="6927" width="3.109375" customWidth="1"/>
    <col min="6928" max="6928" width="2.33203125" customWidth="1"/>
    <col min="6930" max="6930" width="3.109375" customWidth="1"/>
    <col min="6931" max="6931" width="2.33203125" customWidth="1"/>
    <col min="6933" max="6933" width="3.109375" customWidth="1"/>
    <col min="6934" max="6934" width="2.33203125" customWidth="1"/>
    <col min="6936" max="6936" width="3.109375" customWidth="1"/>
    <col min="6937" max="6937" width="2.33203125" customWidth="1"/>
    <col min="6939" max="6939" width="3.109375" customWidth="1"/>
    <col min="6940" max="6940" width="2.33203125" customWidth="1"/>
    <col min="6942" max="6942" width="3.109375" customWidth="1"/>
    <col min="6943" max="6943" width="2.33203125" customWidth="1"/>
    <col min="7165" max="7166" width="3.109375" customWidth="1"/>
    <col min="7168" max="7168" width="3.109375" customWidth="1"/>
    <col min="7169" max="7169" width="2.33203125" customWidth="1"/>
    <col min="7171" max="7171" width="3.109375" customWidth="1"/>
    <col min="7172" max="7172" width="2.33203125" customWidth="1"/>
    <col min="7174" max="7174" width="3.109375" customWidth="1"/>
    <col min="7175" max="7175" width="2.33203125" customWidth="1"/>
    <col min="7177" max="7177" width="3.109375" customWidth="1"/>
    <col min="7178" max="7178" width="2.33203125" customWidth="1"/>
    <col min="7180" max="7180" width="3.109375" customWidth="1"/>
    <col min="7181" max="7181" width="2.33203125" customWidth="1"/>
    <col min="7183" max="7183" width="3.109375" customWidth="1"/>
    <col min="7184" max="7184" width="2.33203125" customWidth="1"/>
    <col min="7186" max="7186" width="3.109375" customWidth="1"/>
    <col min="7187" max="7187" width="2.33203125" customWidth="1"/>
    <col min="7189" max="7189" width="3.109375" customWidth="1"/>
    <col min="7190" max="7190" width="2.33203125" customWidth="1"/>
    <col min="7192" max="7192" width="3.109375" customWidth="1"/>
    <col min="7193" max="7193" width="2.33203125" customWidth="1"/>
    <col min="7195" max="7195" width="3.109375" customWidth="1"/>
    <col min="7196" max="7196" width="2.33203125" customWidth="1"/>
    <col min="7198" max="7198" width="3.109375" customWidth="1"/>
    <col min="7199" max="7199" width="2.33203125" customWidth="1"/>
    <col min="7421" max="7422" width="3.109375" customWidth="1"/>
    <col min="7424" max="7424" width="3.109375" customWidth="1"/>
    <col min="7425" max="7425" width="2.33203125" customWidth="1"/>
    <col min="7427" max="7427" width="3.109375" customWidth="1"/>
    <col min="7428" max="7428" width="2.33203125" customWidth="1"/>
    <col min="7430" max="7430" width="3.109375" customWidth="1"/>
    <col min="7431" max="7431" width="2.33203125" customWidth="1"/>
    <col min="7433" max="7433" width="3.109375" customWidth="1"/>
    <col min="7434" max="7434" width="2.33203125" customWidth="1"/>
    <col min="7436" max="7436" width="3.109375" customWidth="1"/>
    <col min="7437" max="7437" width="2.33203125" customWidth="1"/>
    <col min="7439" max="7439" width="3.109375" customWidth="1"/>
    <col min="7440" max="7440" width="2.33203125" customWidth="1"/>
    <col min="7442" max="7442" width="3.109375" customWidth="1"/>
    <col min="7443" max="7443" width="2.33203125" customWidth="1"/>
    <col min="7445" max="7445" width="3.109375" customWidth="1"/>
    <col min="7446" max="7446" width="2.33203125" customWidth="1"/>
    <col min="7448" max="7448" width="3.109375" customWidth="1"/>
    <col min="7449" max="7449" width="2.33203125" customWidth="1"/>
    <col min="7451" max="7451" width="3.109375" customWidth="1"/>
    <col min="7452" max="7452" width="2.33203125" customWidth="1"/>
    <col min="7454" max="7454" width="3.109375" customWidth="1"/>
    <col min="7455" max="7455" width="2.33203125" customWidth="1"/>
    <col min="7677" max="7678" width="3.109375" customWidth="1"/>
    <col min="7680" max="7680" width="3.109375" customWidth="1"/>
    <col min="7681" max="7681" width="2.33203125" customWidth="1"/>
    <col min="7683" max="7683" width="3.109375" customWidth="1"/>
    <col min="7684" max="7684" width="2.33203125" customWidth="1"/>
    <col min="7686" max="7686" width="3.109375" customWidth="1"/>
    <col min="7687" max="7687" width="2.33203125" customWidth="1"/>
    <col min="7689" max="7689" width="3.109375" customWidth="1"/>
    <col min="7690" max="7690" width="2.33203125" customWidth="1"/>
    <col min="7692" max="7692" width="3.109375" customWidth="1"/>
    <col min="7693" max="7693" width="2.33203125" customWidth="1"/>
    <col min="7695" max="7695" width="3.109375" customWidth="1"/>
    <col min="7696" max="7696" width="2.33203125" customWidth="1"/>
    <col min="7698" max="7698" width="3.109375" customWidth="1"/>
    <col min="7699" max="7699" width="2.33203125" customWidth="1"/>
    <col min="7701" max="7701" width="3.109375" customWidth="1"/>
    <col min="7702" max="7702" width="2.33203125" customWidth="1"/>
    <col min="7704" max="7704" width="3.109375" customWidth="1"/>
    <col min="7705" max="7705" width="2.33203125" customWidth="1"/>
    <col min="7707" max="7707" width="3.109375" customWidth="1"/>
    <col min="7708" max="7708" width="2.33203125" customWidth="1"/>
    <col min="7710" max="7710" width="3.109375" customWidth="1"/>
    <col min="7711" max="7711" width="2.33203125" customWidth="1"/>
    <col min="7933" max="7934" width="3.109375" customWidth="1"/>
    <col min="7936" max="7936" width="3.109375" customWidth="1"/>
    <col min="7937" max="7937" width="2.33203125" customWidth="1"/>
    <col min="7939" max="7939" width="3.109375" customWidth="1"/>
    <col min="7940" max="7940" width="2.33203125" customWidth="1"/>
    <col min="7942" max="7942" width="3.109375" customWidth="1"/>
    <col min="7943" max="7943" width="2.33203125" customWidth="1"/>
    <col min="7945" max="7945" width="3.109375" customWidth="1"/>
    <col min="7946" max="7946" width="2.33203125" customWidth="1"/>
    <col min="7948" max="7948" width="3.109375" customWidth="1"/>
    <col min="7949" max="7949" width="2.33203125" customWidth="1"/>
    <col min="7951" max="7951" width="3.109375" customWidth="1"/>
    <col min="7952" max="7952" width="2.33203125" customWidth="1"/>
    <col min="7954" max="7954" width="3.109375" customWidth="1"/>
    <col min="7955" max="7955" width="2.33203125" customWidth="1"/>
    <col min="7957" max="7957" width="3.109375" customWidth="1"/>
    <col min="7958" max="7958" width="2.33203125" customWidth="1"/>
    <col min="7960" max="7960" width="3.109375" customWidth="1"/>
    <col min="7961" max="7961" width="2.33203125" customWidth="1"/>
    <col min="7963" max="7963" width="3.109375" customWidth="1"/>
    <col min="7964" max="7964" width="2.33203125" customWidth="1"/>
    <col min="7966" max="7966" width="3.109375" customWidth="1"/>
    <col min="7967" max="7967" width="2.33203125" customWidth="1"/>
    <col min="8189" max="8190" width="3.109375" customWidth="1"/>
    <col min="8192" max="8192" width="3.109375" customWidth="1"/>
    <col min="8193" max="8193" width="2.33203125" customWidth="1"/>
    <col min="8195" max="8195" width="3.109375" customWidth="1"/>
    <col min="8196" max="8196" width="2.33203125" customWidth="1"/>
    <col min="8198" max="8198" width="3.109375" customWidth="1"/>
    <col min="8199" max="8199" width="2.33203125" customWidth="1"/>
    <col min="8201" max="8201" width="3.109375" customWidth="1"/>
    <col min="8202" max="8202" width="2.33203125" customWidth="1"/>
    <col min="8204" max="8204" width="3.109375" customWidth="1"/>
    <col min="8205" max="8205" width="2.33203125" customWidth="1"/>
    <col min="8207" max="8207" width="3.109375" customWidth="1"/>
    <col min="8208" max="8208" width="2.33203125" customWidth="1"/>
    <col min="8210" max="8210" width="3.109375" customWidth="1"/>
    <col min="8211" max="8211" width="2.33203125" customWidth="1"/>
    <col min="8213" max="8213" width="3.109375" customWidth="1"/>
    <col min="8214" max="8214" width="2.33203125" customWidth="1"/>
    <col min="8216" max="8216" width="3.109375" customWidth="1"/>
    <col min="8217" max="8217" width="2.33203125" customWidth="1"/>
    <col min="8219" max="8219" width="3.109375" customWidth="1"/>
    <col min="8220" max="8220" width="2.33203125" customWidth="1"/>
    <col min="8222" max="8222" width="3.109375" customWidth="1"/>
    <col min="8223" max="8223" width="2.33203125" customWidth="1"/>
    <col min="8445" max="8446" width="3.109375" customWidth="1"/>
    <col min="8448" max="8448" width="3.109375" customWidth="1"/>
    <col min="8449" max="8449" width="2.33203125" customWidth="1"/>
    <col min="8451" max="8451" width="3.109375" customWidth="1"/>
    <col min="8452" max="8452" width="2.33203125" customWidth="1"/>
    <col min="8454" max="8454" width="3.109375" customWidth="1"/>
    <col min="8455" max="8455" width="2.33203125" customWidth="1"/>
    <col min="8457" max="8457" width="3.109375" customWidth="1"/>
    <col min="8458" max="8458" width="2.33203125" customWidth="1"/>
    <col min="8460" max="8460" width="3.109375" customWidth="1"/>
    <col min="8461" max="8461" width="2.33203125" customWidth="1"/>
    <col min="8463" max="8463" width="3.109375" customWidth="1"/>
    <col min="8464" max="8464" width="2.33203125" customWidth="1"/>
    <col min="8466" max="8466" width="3.109375" customWidth="1"/>
    <col min="8467" max="8467" width="2.33203125" customWidth="1"/>
    <col min="8469" max="8469" width="3.109375" customWidth="1"/>
    <col min="8470" max="8470" width="2.33203125" customWidth="1"/>
    <col min="8472" max="8472" width="3.109375" customWidth="1"/>
    <col min="8473" max="8473" width="2.33203125" customWidth="1"/>
    <col min="8475" max="8475" width="3.109375" customWidth="1"/>
    <col min="8476" max="8476" width="2.33203125" customWidth="1"/>
    <col min="8478" max="8478" width="3.109375" customWidth="1"/>
    <col min="8479" max="8479" width="2.33203125" customWidth="1"/>
    <col min="8701" max="8702" width="3.109375" customWidth="1"/>
    <col min="8704" max="8704" width="3.109375" customWidth="1"/>
    <col min="8705" max="8705" width="2.33203125" customWidth="1"/>
    <col min="8707" max="8707" width="3.109375" customWidth="1"/>
    <col min="8708" max="8708" width="2.33203125" customWidth="1"/>
    <col min="8710" max="8710" width="3.109375" customWidth="1"/>
    <col min="8711" max="8711" width="2.33203125" customWidth="1"/>
    <col min="8713" max="8713" width="3.109375" customWidth="1"/>
    <col min="8714" max="8714" width="2.33203125" customWidth="1"/>
    <col min="8716" max="8716" width="3.109375" customWidth="1"/>
    <col min="8717" max="8717" width="2.33203125" customWidth="1"/>
    <col min="8719" max="8719" width="3.109375" customWidth="1"/>
    <col min="8720" max="8720" width="2.33203125" customWidth="1"/>
    <col min="8722" max="8722" width="3.109375" customWidth="1"/>
    <col min="8723" max="8723" width="2.33203125" customWidth="1"/>
    <col min="8725" max="8725" width="3.109375" customWidth="1"/>
    <col min="8726" max="8726" width="2.33203125" customWidth="1"/>
    <col min="8728" max="8728" width="3.109375" customWidth="1"/>
    <col min="8729" max="8729" width="2.33203125" customWidth="1"/>
    <col min="8731" max="8731" width="3.109375" customWidth="1"/>
    <col min="8732" max="8732" width="2.33203125" customWidth="1"/>
    <col min="8734" max="8734" width="3.109375" customWidth="1"/>
    <col min="8735" max="8735" width="2.33203125" customWidth="1"/>
    <col min="8957" max="8958" width="3.109375" customWidth="1"/>
    <col min="8960" max="8960" width="3.109375" customWidth="1"/>
    <col min="8961" max="8961" width="2.33203125" customWidth="1"/>
    <col min="8963" max="8963" width="3.109375" customWidth="1"/>
    <col min="8964" max="8964" width="2.33203125" customWidth="1"/>
    <col min="8966" max="8966" width="3.109375" customWidth="1"/>
    <col min="8967" max="8967" width="2.33203125" customWidth="1"/>
    <col min="8969" max="8969" width="3.109375" customWidth="1"/>
    <col min="8970" max="8970" width="2.33203125" customWidth="1"/>
    <col min="8972" max="8972" width="3.109375" customWidth="1"/>
    <col min="8973" max="8973" width="2.33203125" customWidth="1"/>
    <col min="8975" max="8975" width="3.109375" customWidth="1"/>
    <col min="8976" max="8976" width="2.33203125" customWidth="1"/>
    <col min="8978" max="8978" width="3.109375" customWidth="1"/>
    <col min="8979" max="8979" width="2.33203125" customWidth="1"/>
    <col min="8981" max="8981" width="3.109375" customWidth="1"/>
    <col min="8982" max="8982" width="2.33203125" customWidth="1"/>
    <col min="8984" max="8984" width="3.109375" customWidth="1"/>
    <col min="8985" max="8985" width="2.33203125" customWidth="1"/>
    <col min="8987" max="8987" width="3.109375" customWidth="1"/>
    <col min="8988" max="8988" width="2.33203125" customWidth="1"/>
    <col min="8990" max="8990" width="3.109375" customWidth="1"/>
    <col min="8991" max="8991" width="2.33203125" customWidth="1"/>
    <col min="9213" max="9214" width="3.109375" customWidth="1"/>
    <col min="9216" max="9216" width="3.109375" customWidth="1"/>
    <col min="9217" max="9217" width="2.33203125" customWidth="1"/>
    <col min="9219" max="9219" width="3.109375" customWidth="1"/>
    <col min="9220" max="9220" width="2.33203125" customWidth="1"/>
    <col min="9222" max="9222" width="3.109375" customWidth="1"/>
    <col min="9223" max="9223" width="2.33203125" customWidth="1"/>
    <col min="9225" max="9225" width="3.109375" customWidth="1"/>
    <col min="9226" max="9226" width="2.33203125" customWidth="1"/>
    <col min="9228" max="9228" width="3.109375" customWidth="1"/>
    <col min="9229" max="9229" width="2.33203125" customWidth="1"/>
    <col min="9231" max="9231" width="3.109375" customWidth="1"/>
    <col min="9232" max="9232" width="2.33203125" customWidth="1"/>
    <col min="9234" max="9234" width="3.109375" customWidth="1"/>
    <col min="9235" max="9235" width="2.33203125" customWidth="1"/>
    <col min="9237" max="9237" width="3.109375" customWidth="1"/>
    <col min="9238" max="9238" width="2.33203125" customWidth="1"/>
    <col min="9240" max="9240" width="3.109375" customWidth="1"/>
    <col min="9241" max="9241" width="2.33203125" customWidth="1"/>
    <col min="9243" max="9243" width="3.109375" customWidth="1"/>
    <col min="9244" max="9244" width="2.33203125" customWidth="1"/>
    <col min="9246" max="9246" width="3.109375" customWidth="1"/>
    <col min="9247" max="9247" width="2.33203125" customWidth="1"/>
    <col min="9469" max="9470" width="3.109375" customWidth="1"/>
    <col min="9472" max="9472" width="3.109375" customWidth="1"/>
    <col min="9473" max="9473" width="2.33203125" customWidth="1"/>
    <col min="9475" max="9475" width="3.109375" customWidth="1"/>
    <col min="9476" max="9476" width="2.33203125" customWidth="1"/>
    <col min="9478" max="9478" width="3.109375" customWidth="1"/>
    <col min="9479" max="9479" width="2.33203125" customWidth="1"/>
    <col min="9481" max="9481" width="3.109375" customWidth="1"/>
    <col min="9482" max="9482" width="2.33203125" customWidth="1"/>
    <col min="9484" max="9484" width="3.109375" customWidth="1"/>
    <col min="9485" max="9485" width="2.33203125" customWidth="1"/>
    <col min="9487" max="9487" width="3.109375" customWidth="1"/>
    <col min="9488" max="9488" width="2.33203125" customWidth="1"/>
    <col min="9490" max="9490" width="3.109375" customWidth="1"/>
    <col min="9491" max="9491" width="2.33203125" customWidth="1"/>
    <col min="9493" max="9493" width="3.109375" customWidth="1"/>
    <col min="9494" max="9494" width="2.33203125" customWidth="1"/>
    <col min="9496" max="9496" width="3.109375" customWidth="1"/>
    <col min="9497" max="9497" width="2.33203125" customWidth="1"/>
    <col min="9499" max="9499" width="3.109375" customWidth="1"/>
    <col min="9500" max="9500" width="2.33203125" customWidth="1"/>
    <col min="9502" max="9502" width="3.109375" customWidth="1"/>
    <col min="9503" max="9503" width="2.33203125" customWidth="1"/>
    <col min="9725" max="9726" width="3.109375" customWidth="1"/>
    <col min="9728" max="9728" width="3.109375" customWidth="1"/>
    <col min="9729" max="9729" width="2.33203125" customWidth="1"/>
    <col min="9731" max="9731" width="3.109375" customWidth="1"/>
    <col min="9732" max="9732" width="2.33203125" customWidth="1"/>
    <col min="9734" max="9734" width="3.109375" customWidth="1"/>
    <col min="9735" max="9735" width="2.33203125" customWidth="1"/>
    <col min="9737" max="9737" width="3.109375" customWidth="1"/>
    <col min="9738" max="9738" width="2.33203125" customWidth="1"/>
    <col min="9740" max="9740" width="3.109375" customWidth="1"/>
    <col min="9741" max="9741" width="2.33203125" customWidth="1"/>
    <col min="9743" max="9743" width="3.109375" customWidth="1"/>
    <col min="9744" max="9744" width="2.33203125" customWidth="1"/>
    <col min="9746" max="9746" width="3.109375" customWidth="1"/>
    <col min="9747" max="9747" width="2.33203125" customWidth="1"/>
    <col min="9749" max="9749" width="3.109375" customWidth="1"/>
    <col min="9750" max="9750" width="2.33203125" customWidth="1"/>
    <col min="9752" max="9752" width="3.109375" customWidth="1"/>
    <col min="9753" max="9753" width="2.33203125" customWidth="1"/>
    <col min="9755" max="9755" width="3.109375" customWidth="1"/>
    <col min="9756" max="9756" width="2.33203125" customWidth="1"/>
    <col min="9758" max="9758" width="3.109375" customWidth="1"/>
    <col min="9759" max="9759" width="2.33203125" customWidth="1"/>
    <col min="9981" max="9982" width="3.109375" customWidth="1"/>
    <col min="9984" max="9984" width="3.109375" customWidth="1"/>
    <col min="9985" max="9985" width="2.33203125" customWidth="1"/>
    <col min="9987" max="9987" width="3.109375" customWidth="1"/>
    <col min="9988" max="9988" width="2.33203125" customWidth="1"/>
    <col min="9990" max="9990" width="3.109375" customWidth="1"/>
    <col min="9991" max="9991" width="2.33203125" customWidth="1"/>
    <col min="9993" max="9993" width="3.109375" customWidth="1"/>
    <col min="9994" max="9994" width="2.33203125" customWidth="1"/>
    <col min="9996" max="9996" width="3.109375" customWidth="1"/>
    <col min="9997" max="9997" width="2.33203125" customWidth="1"/>
    <col min="9999" max="9999" width="3.109375" customWidth="1"/>
    <col min="10000" max="10000" width="2.33203125" customWidth="1"/>
    <col min="10002" max="10002" width="3.109375" customWidth="1"/>
    <col min="10003" max="10003" width="2.33203125" customWidth="1"/>
    <col min="10005" max="10005" width="3.109375" customWidth="1"/>
    <col min="10006" max="10006" width="2.33203125" customWidth="1"/>
    <col min="10008" max="10008" width="3.109375" customWidth="1"/>
    <col min="10009" max="10009" width="2.33203125" customWidth="1"/>
    <col min="10011" max="10011" width="3.109375" customWidth="1"/>
    <col min="10012" max="10012" width="2.33203125" customWidth="1"/>
    <col min="10014" max="10014" width="3.109375" customWidth="1"/>
    <col min="10015" max="10015" width="2.33203125" customWidth="1"/>
    <col min="10237" max="10238" width="3.109375" customWidth="1"/>
    <col min="10240" max="10240" width="3.109375" customWidth="1"/>
    <col min="10241" max="10241" width="2.33203125" customWidth="1"/>
    <col min="10243" max="10243" width="3.109375" customWidth="1"/>
    <col min="10244" max="10244" width="2.33203125" customWidth="1"/>
    <col min="10246" max="10246" width="3.109375" customWidth="1"/>
    <col min="10247" max="10247" width="2.33203125" customWidth="1"/>
    <col min="10249" max="10249" width="3.109375" customWidth="1"/>
    <col min="10250" max="10250" width="2.33203125" customWidth="1"/>
    <col min="10252" max="10252" width="3.109375" customWidth="1"/>
    <col min="10253" max="10253" width="2.33203125" customWidth="1"/>
    <col min="10255" max="10255" width="3.109375" customWidth="1"/>
    <col min="10256" max="10256" width="2.33203125" customWidth="1"/>
    <col min="10258" max="10258" width="3.109375" customWidth="1"/>
    <col min="10259" max="10259" width="2.33203125" customWidth="1"/>
    <col min="10261" max="10261" width="3.109375" customWidth="1"/>
    <col min="10262" max="10262" width="2.33203125" customWidth="1"/>
    <col min="10264" max="10264" width="3.109375" customWidth="1"/>
    <col min="10265" max="10265" width="2.33203125" customWidth="1"/>
    <col min="10267" max="10267" width="3.109375" customWidth="1"/>
    <col min="10268" max="10268" width="2.33203125" customWidth="1"/>
    <col min="10270" max="10270" width="3.109375" customWidth="1"/>
    <col min="10271" max="10271" width="2.33203125" customWidth="1"/>
    <col min="10493" max="10494" width="3.109375" customWidth="1"/>
    <col min="10496" max="10496" width="3.109375" customWidth="1"/>
    <col min="10497" max="10497" width="2.33203125" customWidth="1"/>
    <col min="10499" max="10499" width="3.109375" customWidth="1"/>
    <col min="10500" max="10500" width="2.33203125" customWidth="1"/>
    <col min="10502" max="10502" width="3.109375" customWidth="1"/>
    <col min="10503" max="10503" width="2.33203125" customWidth="1"/>
    <col min="10505" max="10505" width="3.109375" customWidth="1"/>
    <col min="10506" max="10506" width="2.33203125" customWidth="1"/>
    <col min="10508" max="10508" width="3.109375" customWidth="1"/>
    <col min="10509" max="10509" width="2.33203125" customWidth="1"/>
    <col min="10511" max="10511" width="3.109375" customWidth="1"/>
    <col min="10512" max="10512" width="2.33203125" customWidth="1"/>
    <col min="10514" max="10514" width="3.109375" customWidth="1"/>
    <col min="10515" max="10515" width="2.33203125" customWidth="1"/>
    <col min="10517" max="10517" width="3.109375" customWidth="1"/>
    <col min="10518" max="10518" width="2.33203125" customWidth="1"/>
    <col min="10520" max="10520" width="3.109375" customWidth="1"/>
    <col min="10521" max="10521" width="2.33203125" customWidth="1"/>
    <col min="10523" max="10523" width="3.109375" customWidth="1"/>
    <col min="10524" max="10524" width="2.33203125" customWidth="1"/>
    <col min="10526" max="10526" width="3.109375" customWidth="1"/>
    <col min="10527" max="10527" width="2.33203125" customWidth="1"/>
    <col min="10749" max="10750" width="3.109375" customWidth="1"/>
    <col min="10752" max="10752" width="3.109375" customWidth="1"/>
    <col min="10753" max="10753" width="2.33203125" customWidth="1"/>
    <col min="10755" max="10755" width="3.109375" customWidth="1"/>
    <col min="10756" max="10756" width="2.33203125" customWidth="1"/>
    <col min="10758" max="10758" width="3.109375" customWidth="1"/>
    <col min="10759" max="10759" width="2.33203125" customWidth="1"/>
    <col min="10761" max="10761" width="3.109375" customWidth="1"/>
    <col min="10762" max="10762" width="2.33203125" customWidth="1"/>
    <col min="10764" max="10764" width="3.109375" customWidth="1"/>
    <col min="10765" max="10765" width="2.33203125" customWidth="1"/>
    <col min="10767" max="10767" width="3.109375" customWidth="1"/>
    <col min="10768" max="10768" width="2.33203125" customWidth="1"/>
    <col min="10770" max="10770" width="3.109375" customWidth="1"/>
    <col min="10771" max="10771" width="2.33203125" customWidth="1"/>
    <col min="10773" max="10773" width="3.109375" customWidth="1"/>
    <col min="10774" max="10774" width="2.33203125" customWidth="1"/>
    <col min="10776" max="10776" width="3.109375" customWidth="1"/>
    <col min="10777" max="10777" width="2.33203125" customWidth="1"/>
    <col min="10779" max="10779" width="3.109375" customWidth="1"/>
    <col min="10780" max="10780" width="2.33203125" customWidth="1"/>
    <col min="10782" max="10782" width="3.109375" customWidth="1"/>
    <col min="10783" max="10783" width="2.33203125" customWidth="1"/>
    <col min="11005" max="11006" width="3.109375" customWidth="1"/>
    <col min="11008" max="11008" width="3.109375" customWidth="1"/>
    <col min="11009" max="11009" width="2.33203125" customWidth="1"/>
    <col min="11011" max="11011" width="3.109375" customWidth="1"/>
    <col min="11012" max="11012" width="2.33203125" customWidth="1"/>
    <col min="11014" max="11014" width="3.109375" customWidth="1"/>
    <col min="11015" max="11015" width="2.33203125" customWidth="1"/>
    <col min="11017" max="11017" width="3.109375" customWidth="1"/>
    <col min="11018" max="11018" width="2.33203125" customWidth="1"/>
    <col min="11020" max="11020" width="3.109375" customWidth="1"/>
    <col min="11021" max="11021" width="2.33203125" customWidth="1"/>
    <col min="11023" max="11023" width="3.109375" customWidth="1"/>
    <col min="11024" max="11024" width="2.33203125" customWidth="1"/>
    <col min="11026" max="11026" width="3.109375" customWidth="1"/>
    <col min="11027" max="11027" width="2.33203125" customWidth="1"/>
    <col min="11029" max="11029" width="3.109375" customWidth="1"/>
    <col min="11030" max="11030" width="2.33203125" customWidth="1"/>
    <col min="11032" max="11032" width="3.109375" customWidth="1"/>
    <col min="11033" max="11033" width="2.33203125" customWidth="1"/>
    <col min="11035" max="11035" width="3.109375" customWidth="1"/>
    <col min="11036" max="11036" width="2.33203125" customWidth="1"/>
    <col min="11038" max="11038" width="3.109375" customWidth="1"/>
    <col min="11039" max="11039" width="2.33203125" customWidth="1"/>
    <col min="11261" max="11262" width="3.109375" customWidth="1"/>
    <col min="11264" max="11264" width="3.109375" customWidth="1"/>
    <col min="11265" max="11265" width="2.33203125" customWidth="1"/>
    <col min="11267" max="11267" width="3.109375" customWidth="1"/>
    <col min="11268" max="11268" width="2.33203125" customWidth="1"/>
    <col min="11270" max="11270" width="3.109375" customWidth="1"/>
    <col min="11271" max="11271" width="2.33203125" customWidth="1"/>
    <col min="11273" max="11273" width="3.109375" customWidth="1"/>
    <col min="11274" max="11274" width="2.33203125" customWidth="1"/>
    <col min="11276" max="11276" width="3.109375" customWidth="1"/>
    <col min="11277" max="11277" width="2.33203125" customWidth="1"/>
    <col min="11279" max="11279" width="3.109375" customWidth="1"/>
    <col min="11280" max="11280" width="2.33203125" customWidth="1"/>
    <col min="11282" max="11282" width="3.109375" customWidth="1"/>
    <col min="11283" max="11283" width="2.33203125" customWidth="1"/>
    <col min="11285" max="11285" width="3.109375" customWidth="1"/>
    <col min="11286" max="11286" width="2.33203125" customWidth="1"/>
    <col min="11288" max="11288" width="3.109375" customWidth="1"/>
    <col min="11289" max="11289" width="2.33203125" customWidth="1"/>
    <col min="11291" max="11291" width="3.109375" customWidth="1"/>
    <col min="11292" max="11292" width="2.33203125" customWidth="1"/>
    <col min="11294" max="11294" width="3.109375" customWidth="1"/>
    <col min="11295" max="11295" width="2.33203125" customWidth="1"/>
    <col min="11517" max="11518" width="3.109375" customWidth="1"/>
    <col min="11520" max="11520" width="3.109375" customWidth="1"/>
    <col min="11521" max="11521" width="2.33203125" customWidth="1"/>
    <col min="11523" max="11523" width="3.109375" customWidth="1"/>
    <col min="11524" max="11524" width="2.33203125" customWidth="1"/>
    <col min="11526" max="11526" width="3.109375" customWidth="1"/>
    <col min="11527" max="11527" width="2.33203125" customWidth="1"/>
    <col min="11529" max="11529" width="3.109375" customWidth="1"/>
    <col min="11530" max="11530" width="2.33203125" customWidth="1"/>
    <col min="11532" max="11532" width="3.109375" customWidth="1"/>
    <col min="11533" max="11533" width="2.33203125" customWidth="1"/>
    <col min="11535" max="11535" width="3.109375" customWidth="1"/>
    <col min="11536" max="11536" width="2.33203125" customWidth="1"/>
    <col min="11538" max="11538" width="3.109375" customWidth="1"/>
    <col min="11539" max="11539" width="2.33203125" customWidth="1"/>
    <col min="11541" max="11541" width="3.109375" customWidth="1"/>
    <col min="11542" max="11542" width="2.33203125" customWidth="1"/>
    <col min="11544" max="11544" width="3.109375" customWidth="1"/>
    <col min="11545" max="11545" width="2.33203125" customWidth="1"/>
    <col min="11547" max="11547" width="3.109375" customWidth="1"/>
    <col min="11548" max="11548" width="2.33203125" customWidth="1"/>
    <col min="11550" max="11550" width="3.109375" customWidth="1"/>
    <col min="11551" max="11551" width="2.33203125" customWidth="1"/>
    <col min="11773" max="11774" width="3.109375" customWidth="1"/>
    <col min="11776" max="11776" width="3.109375" customWidth="1"/>
    <col min="11777" max="11777" width="2.33203125" customWidth="1"/>
    <col min="11779" max="11779" width="3.109375" customWidth="1"/>
    <col min="11780" max="11780" width="2.33203125" customWidth="1"/>
    <col min="11782" max="11782" width="3.109375" customWidth="1"/>
    <col min="11783" max="11783" width="2.33203125" customWidth="1"/>
    <col min="11785" max="11785" width="3.109375" customWidth="1"/>
    <col min="11786" max="11786" width="2.33203125" customWidth="1"/>
    <col min="11788" max="11788" width="3.109375" customWidth="1"/>
    <col min="11789" max="11789" width="2.33203125" customWidth="1"/>
    <col min="11791" max="11791" width="3.109375" customWidth="1"/>
    <col min="11792" max="11792" width="2.33203125" customWidth="1"/>
    <col min="11794" max="11794" width="3.109375" customWidth="1"/>
    <col min="11795" max="11795" width="2.33203125" customWidth="1"/>
    <col min="11797" max="11797" width="3.109375" customWidth="1"/>
    <col min="11798" max="11798" width="2.33203125" customWidth="1"/>
    <col min="11800" max="11800" width="3.109375" customWidth="1"/>
    <col min="11801" max="11801" width="2.33203125" customWidth="1"/>
    <col min="11803" max="11803" width="3.109375" customWidth="1"/>
    <col min="11804" max="11804" width="2.33203125" customWidth="1"/>
    <col min="11806" max="11806" width="3.109375" customWidth="1"/>
    <col min="11807" max="11807" width="2.33203125" customWidth="1"/>
    <col min="12029" max="12030" width="3.109375" customWidth="1"/>
    <col min="12032" max="12032" width="3.109375" customWidth="1"/>
    <col min="12033" max="12033" width="2.33203125" customWidth="1"/>
    <col min="12035" max="12035" width="3.109375" customWidth="1"/>
    <col min="12036" max="12036" width="2.33203125" customWidth="1"/>
    <col min="12038" max="12038" width="3.109375" customWidth="1"/>
    <col min="12039" max="12039" width="2.33203125" customWidth="1"/>
    <col min="12041" max="12041" width="3.109375" customWidth="1"/>
    <col min="12042" max="12042" width="2.33203125" customWidth="1"/>
    <col min="12044" max="12044" width="3.109375" customWidth="1"/>
    <col min="12045" max="12045" width="2.33203125" customWidth="1"/>
    <col min="12047" max="12047" width="3.109375" customWidth="1"/>
    <col min="12048" max="12048" width="2.33203125" customWidth="1"/>
    <col min="12050" max="12050" width="3.109375" customWidth="1"/>
    <col min="12051" max="12051" width="2.33203125" customWidth="1"/>
    <col min="12053" max="12053" width="3.109375" customWidth="1"/>
    <col min="12054" max="12054" width="2.33203125" customWidth="1"/>
    <col min="12056" max="12056" width="3.109375" customWidth="1"/>
    <col min="12057" max="12057" width="2.33203125" customWidth="1"/>
    <col min="12059" max="12059" width="3.109375" customWidth="1"/>
    <col min="12060" max="12060" width="2.33203125" customWidth="1"/>
    <col min="12062" max="12062" width="3.109375" customWidth="1"/>
    <col min="12063" max="12063" width="2.33203125" customWidth="1"/>
    <col min="12285" max="12286" width="3.109375" customWidth="1"/>
    <col min="12288" max="12288" width="3.109375" customWidth="1"/>
    <col min="12289" max="12289" width="2.33203125" customWidth="1"/>
    <col min="12291" max="12291" width="3.109375" customWidth="1"/>
    <col min="12292" max="12292" width="2.33203125" customWidth="1"/>
    <col min="12294" max="12294" width="3.109375" customWidth="1"/>
    <col min="12295" max="12295" width="2.33203125" customWidth="1"/>
    <col min="12297" max="12297" width="3.109375" customWidth="1"/>
    <col min="12298" max="12298" width="2.33203125" customWidth="1"/>
    <col min="12300" max="12300" width="3.109375" customWidth="1"/>
    <col min="12301" max="12301" width="2.33203125" customWidth="1"/>
    <col min="12303" max="12303" width="3.109375" customWidth="1"/>
    <col min="12304" max="12304" width="2.33203125" customWidth="1"/>
    <col min="12306" max="12306" width="3.109375" customWidth="1"/>
    <col min="12307" max="12307" width="2.33203125" customWidth="1"/>
    <col min="12309" max="12309" width="3.109375" customWidth="1"/>
    <col min="12310" max="12310" width="2.33203125" customWidth="1"/>
    <col min="12312" max="12312" width="3.109375" customWidth="1"/>
    <col min="12313" max="12313" width="2.33203125" customWidth="1"/>
    <col min="12315" max="12315" width="3.109375" customWidth="1"/>
    <col min="12316" max="12316" width="2.33203125" customWidth="1"/>
    <col min="12318" max="12318" width="3.109375" customWidth="1"/>
    <col min="12319" max="12319" width="2.33203125" customWidth="1"/>
    <col min="12541" max="12542" width="3.109375" customWidth="1"/>
    <col min="12544" max="12544" width="3.109375" customWidth="1"/>
    <col min="12545" max="12545" width="2.33203125" customWidth="1"/>
    <col min="12547" max="12547" width="3.109375" customWidth="1"/>
    <col min="12548" max="12548" width="2.33203125" customWidth="1"/>
    <col min="12550" max="12550" width="3.109375" customWidth="1"/>
    <col min="12551" max="12551" width="2.33203125" customWidth="1"/>
    <col min="12553" max="12553" width="3.109375" customWidth="1"/>
    <col min="12554" max="12554" width="2.33203125" customWidth="1"/>
    <col min="12556" max="12556" width="3.109375" customWidth="1"/>
    <col min="12557" max="12557" width="2.33203125" customWidth="1"/>
    <col min="12559" max="12559" width="3.109375" customWidth="1"/>
    <col min="12560" max="12560" width="2.33203125" customWidth="1"/>
    <col min="12562" max="12562" width="3.109375" customWidth="1"/>
    <col min="12563" max="12563" width="2.33203125" customWidth="1"/>
    <col min="12565" max="12565" width="3.109375" customWidth="1"/>
    <col min="12566" max="12566" width="2.33203125" customWidth="1"/>
    <col min="12568" max="12568" width="3.109375" customWidth="1"/>
    <col min="12569" max="12569" width="2.33203125" customWidth="1"/>
    <col min="12571" max="12571" width="3.109375" customWidth="1"/>
    <col min="12572" max="12572" width="2.33203125" customWidth="1"/>
    <col min="12574" max="12574" width="3.109375" customWidth="1"/>
    <col min="12575" max="12575" width="2.33203125" customWidth="1"/>
    <col min="12797" max="12798" width="3.109375" customWidth="1"/>
    <col min="12800" max="12800" width="3.109375" customWidth="1"/>
    <col min="12801" max="12801" width="2.33203125" customWidth="1"/>
    <col min="12803" max="12803" width="3.109375" customWidth="1"/>
    <col min="12804" max="12804" width="2.33203125" customWidth="1"/>
    <col min="12806" max="12806" width="3.109375" customWidth="1"/>
    <col min="12807" max="12807" width="2.33203125" customWidth="1"/>
    <col min="12809" max="12809" width="3.109375" customWidth="1"/>
    <col min="12810" max="12810" width="2.33203125" customWidth="1"/>
    <col min="12812" max="12812" width="3.109375" customWidth="1"/>
    <col min="12813" max="12813" width="2.33203125" customWidth="1"/>
    <col min="12815" max="12815" width="3.109375" customWidth="1"/>
    <col min="12816" max="12816" width="2.33203125" customWidth="1"/>
    <col min="12818" max="12818" width="3.109375" customWidth="1"/>
    <col min="12819" max="12819" width="2.33203125" customWidth="1"/>
    <col min="12821" max="12821" width="3.109375" customWidth="1"/>
    <col min="12822" max="12822" width="2.33203125" customWidth="1"/>
    <col min="12824" max="12824" width="3.109375" customWidth="1"/>
    <col min="12825" max="12825" width="2.33203125" customWidth="1"/>
    <col min="12827" max="12827" width="3.109375" customWidth="1"/>
    <col min="12828" max="12828" width="2.33203125" customWidth="1"/>
    <col min="12830" max="12830" width="3.109375" customWidth="1"/>
    <col min="12831" max="12831" width="2.33203125" customWidth="1"/>
    <col min="13053" max="13054" width="3.109375" customWidth="1"/>
    <col min="13056" max="13056" width="3.109375" customWidth="1"/>
    <col min="13057" max="13057" width="2.33203125" customWidth="1"/>
    <col min="13059" max="13059" width="3.109375" customWidth="1"/>
    <col min="13060" max="13060" width="2.33203125" customWidth="1"/>
    <col min="13062" max="13062" width="3.109375" customWidth="1"/>
    <col min="13063" max="13063" width="2.33203125" customWidth="1"/>
    <col min="13065" max="13065" width="3.109375" customWidth="1"/>
    <col min="13066" max="13066" width="2.33203125" customWidth="1"/>
    <col min="13068" max="13068" width="3.109375" customWidth="1"/>
    <col min="13069" max="13069" width="2.33203125" customWidth="1"/>
    <col min="13071" max="13071" width="3.109375" customWidth="1"/>
    <col min="13072" max="13072" width="2.33203125" customWidth="1"/>
    <col min="13074" max="13074" width="3.109375" customWidth="1"/>
    <col min="13075" max="13075" width="2.33203125" customWidth="1"/>
    <col min="13077" max="13077" width="3.109375" customWidth="1"/>
    <col min="13078" max="13078" width="2.33203125" customWidth="1"/>
    <col min="13080" max="13080" width="3.109375" customWidth="1"/>
    <col min="13081" max="13081" width="2.33203125" customWidth="1"/>
    <col min="13083" max="13083" width="3.109375" customWidth="1"/>
    <col min="13084" max="13084" width="2.33203125" customWidth="1"/>
    <col min="13086" max="13086" width="3.109375" customWidth="1"/>
    <col min="13087" max="13087" width="2.33203125" customWidth="1"/>
    <col min="13309" max="13310" width="3.109375" customWidth="1"/>
    <col min="13312" max="13312" width="3.109375" customWidth="1"/>
    <col min="13313" max="13313" width="2.33203125" customWidth="1"/>
    <col min="13315" max="13315" width="3.109375" customWidth="1"/>
    <col min="13316" max="13316" width="2.33203125" customWidth="1"/>
    <col min="13318" max="13318" width="3.109375" customWidth="1"/>
    <col min="13319" max="13319" width="2.33203125" customWidth="1"/>
    <col min="13321" max="13321" width="3.109375" customWidth="1"/>
    <col min="13322" max="13322" width="2.33203125" customWidth="1"/>
    <col min="13324" max="13324" width="3.109375" customWidth="1"/>
    <col min="13325" max="13325" width="2.33203125" customWidth="1"/>
    <col min="13327" max="13327" width="3.109375" customWidth="1"/>
    <col min="13328" max="13328" width="2.33203125" customWidth="1"/>
    <col min="13330" max="13330" width="3.109375" customWidth="1"/>
    <col min="13331" max="13331" width="2.33203125" customWidth="1"/>
    <col min="13333" max="13333" width="3.109375" customWidth="1"/>
    <col min="13334" max="13334" width="2.33203125" customWidth="1"/>
    <col min="13336" max="13336" width="3.109375" customWidth="1"/>
    <col min="13337" max="13337" width="2.33203125" customWidth="1"/>
    <col min="13339" max="13339" width="3.109375" customWidth="1"/>
    <col min="13340" max="13340" width="2.33203125" customWidth="1"/>
    <col min="13342" max="13342" width="3.109375" customWidth="1"/>
    <col min="13343" max="13343" width="2.33203125" customWidth="1"/>
    <col min="13565" max="13566" width="3.109375" customWidth="1"/>
    <col min="13568" max="13568" width="3.109375" customWidth="1"/>
    <col min="13569" max="13569" width="2.33203125" customWidth="1"/>
    <col min="13571" max="13571" width="3.109375" customWidth="1"/>
    <col min="13572" max="13572" width="2.33203125" customWidth="1"/>
    <col min="13574" max="13574" width="3.109375" customWidth="1"/>
    <col min="13575" max="13575" width="2.33203125" customWidth="1"/>
    <col min="13577" max="13577" width="3.109375" customWidth="1"/>
    <col min="13578" max="13578" width="2.33203125" customWidth="1"/>
    <col min="13580" max="13580" width="3.109375" customWidth="1"/>
    <col min="13581" max="13581" width="2.33203125" customWidth="1"/>
    <col min="13583" max="13583" width="3.109375" customWidth="1"/>
    <col min="13584" max="13584" width="2.33203125" customWidth="1"/>
    <col min="13586" max="13586" width="3.109375" customWidth="1"/>
    <col min="13587" max="13587" width="2.33203125" customWidth="1"/>
    <col min="13589" max="13589" width="3.109375" customWidth="1"/>
    <col min="13590" max="13590" width="2.33203125" customWidth="1"/>
    <col min="13592" max="13592" width="3.109375" customWidth="1"/>
    <col min="13593" max="13593" width="2.33203125" customWidth="1"/>
    <col min="13595" max="13595" width="3.109375" customWidth="1"/>
    <col min="13596" max="13596" width="2.33203125" customWidth="1"/>
    <col min="13598" max="13598" width="3.109375" customWidth="1"/>
    <col min="13599" max="13599" width="2.33203125" customWidth="1"/>
    <col min="13821" max="13822" width="3.109375" customWidth="1"/>
    <col min="13824" max="13824" width="3.109375" customWidth="1"/>
    <col min="13825" max="13825" width="2.33203125" customWidth="1"/>
    <col min="13827" max="13827" width="3.109375" customWidth="1"/>
    <col min="13828" max="13828" width="2.33203125" customWidth="1"/>
    <col min="13830" max="13830" width="3.109375" customWidth="1"/>
    <col min="13831" max="13831" width="2.33203125" customWidth="1"/>
    <col min="13833" max="13833" width="3.109375" customWidth="1"/>
    <col min="13834" max="13834" width="2.33203125" customWidth="1"/>
    <col min="13836" max="13836" width="3.109375" customWidth="1"/>
    <col min="13837" max="13837" width="2.33203125" customWidth="1"/>
    <col min="13839" max="13839" width="3.109375" customWidth="1"/>
    <col min="13840" max="13840" width="2.33203125" customWidth="1"/>
    <col min="13842" max="13842" width="3.109375" customWidth="1"/>
    <col min="13843" max="13843" width="2.33203125" customWidth="1"/>
    <col min="13845" max="13845" width="3.109375" customWidth="1"/>
    <col min="13846" max="13846" width="2.33203125" customWidth="1"/>
    <col min="13848" max="13848" width="3.109375" customWidth="1"/>
    <col min="13849" max="13849" width="2.33203125" customWidth="1"/>
    <col min="13851" max="13851" width="3.109375" customWidth="1"/>
    <col min="13852" max="13852" width="2.33203125" customWidth="1"/>
    <col min="13854" max="13854" width="3.109375" customWidth="1"/>
    <col min="13855" max="13855" width="2.33203125" customWidth="1"/>
    <col min="14077" max="14078" width="3.109375" customWidth="1"/>
    <col min="14080" max="14080" width="3.109375" customWidth="1"/>
    <col min="14081" max="14081" width="2.33203125" customWidth="1"/>
    <col min="14083" max="14083" width="3.109375" customWidth="1"/>
    <col min="14084" max="14084" width="2.33203125" customWidth="1"/>
    <col min="14086" max="14086" width="3.109375" customWidth="1"/>
    <col min="14087" max="14087" width="2.33203125" customWidth="1"/>
    <col min="14089" max="14089" width="3.109375" customWidth="1"/>
    <col min="14090" max="14090" width="2.33203125" customWidth="1"/>
    <col min="14092" max="14092" width="3.109375" customWidth="1"/>
    <col min="14093" max="14093" width="2.33203125" customWidth="1"/>
    <col min="14095" max="14095" width="3.109375" customWidth="1"/>
    <col min="14096" max="14096" width="2.33203125" customWidth="1"/>
    <col min="14098" max="14098" width="3.109375" customWidth="1"/>
    <col min="14099" max="14099" width="2.33203125" customWidth="1"/>
    <col min="14101" max="14101" width="3.109375" customWidth="1"/>
    <col min="14102" max="14102" width="2.33203125" customWidth="1"/>
    <col min="14104" max="14104" width="3.109375" customWidth="1"/>
    <col min="14105" max="14105" width="2.33203125" customWidth="1"/>
    <col min="14107" max="14107" width="3.109375" customWidth="1"/>
    <col min="14108" max="14108" width="2.33203125" customWidth="1"/>
    <col min="14110" max="14110" width="3.109375" customWidth="1"/>
    <col min="14111" max="14111" width="2.33203125" customWidth="1"/>
    <col min="14333" max="14334" width="3.109375" customWidth="1"/>
    <col min="14336" max="14336" width="3.109375" customWidth="1"/>
    <col min="14337" max="14337" width="2.33203125" customWidth="1"/>
    <col min="14339" max="14339" width="3.109375" customWidth="1"/>
    <col min="14340" max="14340" width="2.33203125" customWidth="1"/>
    <col min="14342" max="14342" width="3.109375" customWidth="1"/>
    <col min="14343" max="14343" width="2.33203125" customWidth="1"/>
    <col min="14345" max="14345" width="3.109375" customWidth="1"/>
    <col min="14346" max="14346" width="2.33203125" customWidth="1"/>
    <col min="14348" max="14348" width="3.109375" customWidth="1"/>
    <col min="14349" max="14349" width="2.33203125" customWidth="1"/>
    <col min="14351" max="14351" width="3.109375" customWidth="1"/>
    <col min="14352" max="14352" width="2.33203125" customWidth="1"/>
    <col min="14354" max="14354" width="3.109375" customWidth="1"/>
    <col min="14355" max="14355" width="2.33203125" customWidth="1"/>
    <col min="14357" max="14357" width="3.109375" customWidth="1"/>
    <col min="14358" max="14358" width="2.33203125" customWidth="1"/>
    <col min="14360" max="14360" width="3.109375" customWidth="1"/>
    <col min="14361" max="14361" width="2.33203125" customWidth="1"/>
    <col min="14363" max="14363" width="3.109375" customWidth="1"/>
    <col min="14364" max="14364" width="2.33203125" customWidth="1"/>
    <col min="14366" max="14366" width="3.109375" customWidth="1"/>
    <col min="14367" max="14367" width="2.33203125" customWidth="1"/>
    <col min="14589" max="14590" width="3.109375" customWidth="1"/>
    <col min="14592" max="14592" width="3.109375" customWidth="1"/>
    <col min="14593" max="14593" width="2.33203125" customWidth="1"/>
    <col min="14595" max="14595" width="3.109375" customWidth="1"/>
    <col min="14596" max="14596" width="2.33203125" customWidth="1"/>
    <col min="14598" max="14598" width="3.109375" customWidth="1"/>
    <col min="14599" max="14599" width="2.33203125" customWidth="1"/>
    <col min="14601" max="14601" width="3.109375" customWidth="1"/>
    <col min="14602" max="14602" width="2.33203125" customWidth="1"/>
    <col min="14604" max="14604" width="3.109375" customWidth="1"/>
    <col min="14605" max="14605" width="2.33203125" customWidth="1"/>
    <col min="14607" max="14607" width="3.109375" customWidth="1"/>
    <col min="14608" max="14608" width="2.33203125" customWidth="1"/>
    <col min="14610" max="14610" width="3.109375" customWidth="1"/>
    <col min="14611" max="14611" width="2.33203125" customWidth="1"/>
    <col min="14613" max="14613" width="3.109375" customWidth="1"/>
    <col min="14614" max="14614" width="2.33203125" customWidth="1"/>
    <col min="14616" max="14616" width="3.109375" customWidth="1"/>
    <col min="14617" max="14617" width="2.33203125" customWidth="1"/>
    <col min="14619" max="14619" width="3.109375" customWidth="1"/>
    <col min="14620" max="14620" width="2.33203125" customWidth="1"/>
    <col min="14622" max="14622" width="3.109375" customWidth="1"/>
    <col min="14623" max="14623" width="2.33203125" customWidth="1"/>
    <col min="14845" max="14846" width="3.109375" customWidth="1"/>
    <col min="14848" max="14848" width="3.109375" customWidth="1"/>
    <col min="14849" max="14849" width="2.33203125" customWidth="1"/>
    <col min="14851" max="14851" width="3.109375" customWidth="1"/>
    <col min="14852" max="14852" width="2.33203125" customWidth="1"/>
    <col min="14854" max="14854" width="3.109375" customWidth="1"/>
    <col min="14855" max="14855" width="2.33203125" customWidth="1"/>
    <col min="14857" max="14857" width="3.109375" customWidth="1"/>
    <col min="14858" max="14858" width="2.33203125" customWidth="1"/>
    <col min="14860" max="14860" width="3.109375" customWidth="1"/>
    <col min="14861" max="14861" width="2.33203125" customWidth="1"/>
    <col min="14863" max="14863" width="3.109375" customWidth="1"/>
    <col min="14864" max="14864" width="2.33203125" customWidth="1"/>
    <col min="14866" max="14866" width="3.109375" customWidth="1"/>
    <col min="14867" max="14867" width="2.33203125" customWidth="1"/>
    <col min="14869" max="14869" width="3.109375" customWidth="1"/>
    <col min="14870" max="14870" width="2.33203125" customWidth="1"/>
    <col min="14872" max="14872" width="3.109375" customWidth="1"/>
    <col min="14873" max="14873" width="2.33203125" customWidth="1"/>
    <col min="14875" max="14875" width="3.109375" customWidth="1"/>
    <col min="14876" max="14876" width="2.33203125" customWidth="1"/>
    <col min="14878" max="14878" width="3.109375" customWidth="1"/>
    <col min="14879" max="14879" width="2.33203125" customWidth="1"/>
    <col min="15101" max="15102" width="3.109375" customWidth="1"/>
    <col min="15104" max="15104" width="3.109375" customWidth="1"/>
    <col min="15105" max="15105" width="2.33203125" customWidth="1"/>
    <col min="15107" max="15107" width="3.109375" customWidth="1"/>
    <col min="15108" max="15108" width="2.33203125" customWidth="1"/>
    <col min="15110" max="15110" width="3.109375" customWidth="1"/>
    <col min="15111" max="15111" width="2.33203125" customWidth="1"/>
    <col min="15113" max="15113" width="3.109375" customWidth="1"/>
    <col min="15114" max="15114" width="2.33203125" customWidth="1"/>
    <col min="15116" max="15116" width="3.109375" customWidth="1"/>
    <col min="15117" max="15117" width="2.33203125" customWidth="1"/>
    <col min="15119" max="15119" width="3.109375" customWidth="1"/>
    <col min="15120" max="15120" width="2.33203125" customWidth="1"/>
    <col min="15122" max="15122" width="3.109375" customWidth="1"/>
    <col min="15123" max="15123" width="2.33203125" customWidth="1"/>
    <col min="15125" max="15125" width="3.109375" customWidth="1"/>
    <col min="15126" max="15126" width="2.33203125" customWidth="1"/>
    <col min="15128" max="15128" width="3.109375" customWidth="1"/>
    <col min="15129" max="15129" width="2.33203125" customWidth="1"/>
    <col min="15131" max="15131" width="3.109375" customWidth="1"/>
    <col min="15132" max="15132" width="2.33203125" customWidth="1"/>
    <col min="15134" max="15134" width="3.109375" customWidth="1"/>
    <col min="15135" max="15135" width="2.33203125" customWidth="1"/>
    <col min="15357" max="15358" width="3.109375" customWidth="1"/>
    <col min="15360" max="15360" width="3.109375" customWidth="1"/>
    <col min="15361" max="15361" width="2.33203125" customWidth="1"/>
    <col min="15363" max="15363" width="3.109375" customWidth="1"/>
    <col min="15364" max="15364" width="2.33203125" customWidth="1"/>
    <col min="15366" max="15366" width="3.109375" customWidth="1"/>
    <col min="15367" max="15367" width="2.33203125" customWidth="1"/>
    <col min="15369" max="15369" width="3.109375" customWidth="1"/>
    <col min="15370" max="15370" width="2.33203125" customWidth="1"/>
    <col min="15372" max="15372" width="3.109375" customWidth="1"/>
    <col min="15373" max="15373" width="2.33203125" customWidth="1"/>
    <col min="15375" max="15375" width="3.109375" customWidth="1"/>
    <col min="15376" max="15376" width="2.33203125" customWidth="1"/>
    <col min="15378" max="15378" width="3.109375" customWidth="1"/>
    <col min="15379" max="15379" width="2.33203125" customWidth="1"/>
    <col min="15381" max="15381" width="3.109375" customWidth="1"/>
    <col min="15382" max="15382" width="2.33203125" customWidth="1"/>
    <col min="15384" max="15384" width="3.109375" customWidth="1"/>
    <col min="15385" max="15385" width="2.33203125" customWidth="1"/>
    <col min="15387" max="15387" width="3.109375" customWidth="1"/>
    <col min="15388" max="15388" width="2.33203125" customWidth="1"/>
    <col min="15390" max="15390" width="3.109375" customWidth="1"/>
    <col min="15391" max="15391" width="2.33203125" customWidth="1"/>
    <col min="15613" max="15614" width="3.109375" customWidth="1"/>
    <col min="15616" max="15616" width="3.109375" customWidth="1"/>
    <col min="15617" max="15617" width="2.33203125" customWidth="1"/>
    <col min="15619" max="15619" width="3.109375" customWidth="1"/>
    <col min="15620" max="15620" width="2.33203125" customWidth="1"/>
    <col min="15622" max="15622" width="3.109375" customWidth="1"/>
    <col min="15623" max="15623" width="2.33203125" customWidth="1"/>
    <col min="15625" max="15625" width="3.109375" customWidth="1"/>
    <col min="15626" max="15626" width="2.33203125" customWidth="1"/>
    <col min="15628" max="15628" width="3.109375" customWidth="1"/>
    <col min="15629" max="15629" width="2.33203125" customWidth="1"/>
    <col min="15631" max="15631" width="3.109375" customWidth="1"/>
    <col min="15632" max="15632" width="2.33203125" customWidth="1"/>
    <col min="15634" max="15634" width="3.109375" customWidth="1"/>
    <col min="15635" max="15635" width="2.33203125" customWidth="1"/>
    <col min="15637" max="15637" width="3.109375" customWidth="1"/>
    <col min="15638" max="15638" width="2.33203125" customWidth="1"/>
    <col min="15640" max="15640" width="3.109375" customWidth="1"/>
    <col min="15641" max="15641" width="2.33203125" customWidth="1"/>
    <col min="15643" max="15643" width="3.109375" customWidth="1"/>
    <col min="15644" max="15644" width="2.33203125" customWidth="1"/>
    <col min="15646" max="15646" width="3.109375" customWidth="1"/>
    <col min="15647" max="15647" width="2.33203125" customWidth="1"/>
    <col min="15869" max="15870" width="3.109375" customWidth="1"/>
    <col min="15872" max="15872" width="3.109375" customWidth="1"/>
    <col min="15873" max="15873" width="2.33203125" customWidth="1"/>
    <col min="15875" max="15875" width="3.109375" customWidth="1"/>
    <col min="15876" max="15876" width="2.33203125" customWidth="1"/>
    <col min="15878" max="15878" width="3.109375" customWidth="1"/>
    <col min="15879" max="15879" width="2.33203125" customWidth="1"/>
    <col min="15881" max="15881" width="3.109375" customWidth="1"/>
    <col min="15882" max="15882" width="2.33203125" customWidth="1"/>
    <col min="15884" max="15884" width="3.109375" customWidth="1"/>
    <col min="15885" max="15885" width="2.33203125" customWidth="1"/>
    <col min="15887" max="15887" width="3.109375" customWidth="1"/>
    <col min="15888" max="15888" width="2.33203125" customWidth="1"/>
    <col min="15890" max="15890" width="3.109375" customWidth="1"/>
    <col min="15891" max="15891" width="2.33203125" customWidth="1"/>
    <col min="15893" max="15893" width="3.109375" customWidth="1"/>
    <col min="15894" max="15894" width="2.33203125" customWidth="1"/>
    <col min="15896" max="15896" width="3.109375" customWidth="1"/>
    <col min="15897" max="15897" width="2.33203125" customWidth="1"/>
    <col min="15899" max="15899" width="3.109375" customWidth="1"/>
    <col min="15900" max="15900" width="2.33203125" customWidth="1"/>
    <col min="15902" max="15902" width="3.109375" customWidth="1"/>
    <col min="15903" max="15903" width="2.33203125" customWidth="1"/>
    <col min="16125" max="16126" width="3.109375" customWidth="1"/>
    <col min="16128" max="16128" width="3.109375" customWidth="1"/>
    <col min="16129" max="16129" width="2.33203125" customWidth="1"/>
    <col min="16131" max="16131" width="3.109375" customWidth="1"/>
    <col min="16132" max="16132" width="2.33203125" customWidth="1"/>
    <col min="16134" max="16134" width="3.109375" customWidth="1"/>
    <col min="16135" max="16135" width="2.33203125" customWidth="1"/>
    <col min="16137" max="16137" width="3.109375" customWidth="1"/>
    <col min="16138" max="16138" width="2.33203125" customWidth="1"/>
    <col min="16140" max="16140" width="3.109375" customWidth="1"/>
    <col min="16141" max="16141" width="2.33203125" customWidth="1"/>
    <col min="16143" max="16143" width="3.109375" customWidth="1"/>
    <col min="16144" max="16144" width="2.33203125" customWidth="1"/>
    <col min="16146" max="16146" width="3.109375" customWidth="1"/>
    <col min="16147" max="16147" width="2.33203125" customWidth="1"/>
    <col min="16149" max="16149" width="3.109375" customWidth="1"/>
    <col min="16150" max="16150" width="2.33203125" customWidth="1"/>
    <col min="16152" max="16152" width="3.109375" customWidth="1"/>
    <col min="16153" max="16153" width="2.33203125" customWidth="1"/>
    <col min="16155" max="16155" width="3.109375" customWidth="1"/>
    <col min="16156" max="16156" width="2.33203125" customWidth="1"/>
    <col min="16158" max="16158" width="3.109375" customWidth="1"/>
    <col min="16159" max="16159" width="2.33203125" customWidth="1"/>
  </cols>
  <sheetData>
    <row r="1" spans="1:32" x14ac:dyDescent="0.25">
      <c r="A1" s="290" t="s">
        <v>1851</v>
      </c>
      <c r="B1" s="291"/>
      <c r="C1" s="292"/>
      <c r="D1" s="235"/>
      <c r="E1" s="290" t="s">
        <v>1852</v>
      </c>
      <c r="F1" s="291"/>
      <c r="G1" s="292"/>
      <c r="H1" s="235"/>
      <c r="I1" s="290" t="s">
        <v>1853</v>
      </c>
      <c r="J1" s="291"/>
      <c r="K1" s="292"/>
      <c r="L1" s="235"/>
      <c r="M1" s="290" t="s">
        <v>1854</v>
      </c>
      <c r="N1" s="291"/>
      <c r="O1" s="292"/>
      <c r="P1" s="235"/>
      <c r="Q1" s="290" t="s">
        <v>1855</v>
      </c>
      <c r="R1" s="291"/>
      <c r="S1" s="292"/>
      <c r="T1" s="235"/>
      <c r="U1" s="290" t="s">
        <v>1856</v>
      </c>
      <c r="V1" s="291"/>
      <c r="W1" s="292"/>
      <c r="X1" s="235"/>
      <c r="Y1" s="290" t="s">
        <v>1857</v>
      </c>
      <c r="Z1" s="291"/>
      <c r="AA1" s="292"/>
      <c r="AB1" s="235"/>
      <c r="AC1" s="290" t="s">
        <v>1858</v>
      </c>
      <c r="AD1" s="291"/>
      <c r="AE1" s="292"/>
      <c r="AF1" s="235"/>
    </row>
    <row r="2" spans="1:32" x14ac:dyDescent="0.25">
      <c r="A2" s="195" t="s">
        <v>1859</v>
      </c>
      <c r="B2" s="194"/>
      <c r="C2" s="197">
        <v>40603</v>
      </c>
      <c r="D2" s="236"/>
      <c r="E2" s="198" t="s">
        <v>1860</v>
      </c>
      <c r="F2" s="199"/>
      <c r="G2" s="197">
        <v>40634</v>
      </c>
      <c r="H2" s="236"/>
      <c r="I2" s="200" t="s">
        <v>487</v>
      </c>
      <c r="J2" s="215"/>
      <c r="K2" s="209">
        <v>40664</v>
      </c>
      <c r="L2" s="238"/>
      <c r="M2" s="202" t="s">
        <v>1861</v>
      </c>
      <c r="N2" s="199"/>
      <c r="O2" s="197">
        <v>40695</v>
      </c>
      <c r="P2" s="236"/>
      <c r="Q2" s="198" t="s">
        <v>1860</v>
      </c>
      <c r="R2" s="203"/>
      <c r="S2" s="204">
        <v>40725</v>
      </c>
      <c r="T2" s="238"/>
      <c r="U2" s="205" t="s">
        <v>487</v>
      </c>
      <c r="V2" s="194"/>
      <c r="W2" s="209">
        <v>40756</v>
      </c>
      <c r="X2" s="236"/>
      <c r="Y2" s="198" t="s">
        <v>252</v>
      </c>
      <c r="Z2" s="194"/>
      <c r="AA2" s="197">
        <v>40787</v>
      </c>
      <c r="AB2" s="242" t="s">
        <v>1874</v>
      </c>
      <c r="AC2" s="202" t="s">
        <v>476</v>
      </c>
      <c r="AD2" s="207"/>
      <c r="AE2" s="206">
        <v>40817</v>
      </c>
      <c r="AF2" s="236"/>
    </row>
    <row r="3" spans="1:32" x14ac:dyDescent="0.25">
      <c r="A3" s="195" t="s">
        <v>1861</v>
      </c>
      <c r="B3" s="194"/>
      <c r="C3" s="197">
        <v>40604</v>
      </c>
      <c r="D3" s="236"/>
      <c r="E3" s="208" t="s">
        <v>476</v>
      </c>
      <c r="F3" s="196"/>
      <c r="G3" s="197">
        <v>40635</v>
      </c>
      <c r="H3" s="236"/>
      <c r="I3" s="202" t="s">
        <v>487</v>
      </c>
      <c r="J3" s="215"/>
      <c r="K3" s="209">
        <v>40665</v>
      </c>
      <c r="L3" s="238"/>
      <c r="M3" s="198" t="s">
        <v>252</v>
      </c>
      <c r="N3" s="203"/>
      <c r="O3" s="209">
        <v>40696</v>
      </c>
      <c r="P3" s="236"/>
      <c r="Q3" s="202" t="s">
        <v>476</v>
      </c>
      <c r="R3" s="203"/>
      <c r="S3" s="209">
        <v>40726</v>
      </c>
      <c r="T3" s="236"/>
      <c r="U3" s="205" t="s">
        <v>1859</v>
      </c>
      <c r="V3" s="194"/>
      <c r="W3" s="209">
        <v>40757</v>
      </c>
      <c r="X3" s="236"/>
      <c r="Y3" s="198" t="s">
        <v>1860</v>
      </c>
      <c r="Z3" s="194"/>
      <c r="AA3" s="197">
        <v>40788</v>
      </c>
      <c r="AB3" s="243" t="s">
        <v>1871</v>
      </c>
      <c r="AC3" s="202" t="s">
        <v>487</v>
      </c>
      <c r="AD3" s="207"/>
      <c r="AE3" s="206">
        <v>40818</v>
      </c>
      <c r="AF3" s="236"/>
    </row>
    <row r="4" spans="1:32" x14ac:dyDescent="0.25">
      <c r="A4" s="198" t="s">
        <v>252</v>
      </c>
      <c r="B4" s="194"/>
      <c r="C4" s="197">
        <v>40605</v>
      </c>
      <c r="D4" s="236"/>
      <c r="E4" s="208" t="s">
        <v>487</v>
      </c>
      <c r="F4" s="196"/>
      <c r="G4" s="197">
        <v>40636</v>
      </c>
      <c r="H4" s="236"/>
      <c r="I4" s="202" t="s">
        <v>1859</v>
      </c>
      <c r="J4" s="215"/>
      <c r="K4" s="209">
        <v>40666</v>
      </c>
      <c r="L4" s="238"/>
      <c r="M4" s="198" t="s">
        <v>1860</v>
      </c>
      <c r="N4" s="203"/>
      <c r="O4" s="204">
        <v>40697</v>
      </c>
      <c r="P4" s="238"/>
      <c r="Q4" s="202" t="s">
        <v>487</v>
      </c>
      <c r="R4" s="203"/>
      <c r="S4" s="209">
        <v>40727</v>
      </c>
      <c r="T4" s="236"/>
      <c r="U4" s="205" t="s">
        <v>1861</v>
      </c>
      <c r="V4" s="194"/>
      <c r="W4" s="209">
        <v>40758</v>
      </c>
      <c r="X4" s="236"/>
      <c r="Y4" s="202" t="s">
        <v>476</v>
      </c>
      <c r="Z4" s="207"/>
      <c r="AA4" s="209">
        <v>40789</v>
      </c>
      <c r="AB4" s="206"/>
      <c r="AC4" s="202" t="s">
        <v>487</v>
      </c>
      <c r="AD4" s="207"/>
      <c r="AE4" s="206">
        <v>40819</v>
      </c>
      <c r="AF4" s="236"/>
    </row>
    <row r="5" spans="1:32" x14ac:dyDescent="0.25">
      <c r="A5" s="198" t="s">
        <v>1860</v>
      </c>
      <c r="B5" s="194"/>
      <c r="C5" s="201">
        <v>40606</v>
      </c>
      <c r="D5" s="238"/>
      <c r="E5" s="208" t="s">
        <v>487</v>
      </c>
      <c r="F5" s="196"/>
      <c r="G5" s="197">
        <v>40637</v>
      </c>
      <c r="H5" s="236"/>
      <c r="I5" s="202" t="s">
        <v>1861</v>
      </c>
      <c r="J5" s="215"/>
      <c r="K5" s="209">
        <v>40667</v>
      </c>
      <c r="L5" s="238"/>
      <c r="M5" s="205" t="s">
        <v>476</v>
      </c>
      <c r="N5" s="211"/>
      <c r="O5" s="204">
        <v>40698</v>
      </c>
      <c r="P5" s="238"/>
      <c r="Q5" s="202" t="s">
        <v>487</v>
      </c>
      <c r="R5" s="203"/>
      <c r="S5" s="209">
        <v>40728</v>
      </c>
      <c r="T5" s="236"/>
      <c r="U5" s="198" t="s">
        <v>252</v>
      </c>
      <c r="V5" s="194"/>
      <c r="W5" s="209">
        <v>40759</v>
      </c>
      <c r="X5" s="236"/>
      <c r="Y5" s="202" t="s">
        <v>487</v>
      </c>
      <c r="Z5" s="207"/>
      <c r="AA5" s="209">
        <v>40790</v>
      </c>
      <c r="AB5" s="206"/>
      <c r="AC5" s="202" t="s">
        <v>1859</v>
      </c>
      <c r="AD5" s="207"/>
      <c r="AE5" s="206">
        <v>40820</v>
      </c>
      <c r="AF5" s="236"/>
    </row>
    <row r="6" spans="1:32" x14ac:dyDescent="0.25">
      <c r="A6" s="214" t="s">
        <v>476</v>
      </c>
      <c r="B6" s="213"/>
      <c r="C6" s="201">
        <v>40607</v>
      </c>
      <c r="D6" s="238"/>
      <c r="E6" s="208" t="s">
        <v>1859</v>
      </c>
      <c r="F6" s="196"/>
      <c r="G6" s="197">
        <v>40638</v>
      </c>
      <c r="H6" s="236"/>
      <c r="I6" s="198" t="s">
        <v>252</v>
      </c>
      <c r="J6" s="217"/>
      <c r="K6" s="201">
        <v>40668</v>
      </c>
      <c r="L6" s="255" t="s">
        <v>1875</v>
      </c>
      <c r="M6" s="202" t="s">
        <v>487</v>
      </c>
      <c r="N6" s="203"/>
      <c r="O6" s="204">
        <v>40699</v>
      </c>
      <c r="P6" s="238"/>
      <c r="Q6" s="202" t="s">
        <v>1859</v>
      </c>
      <c r="R6" s="203"/>
      <c r="S6" s="209">
        <v>40729</v>
      </c>
      <c r="T6" s="236"/>
      <c r="U6" s="198" t="s">
        <v>1860</v>
      </c>
      <c r="V6" s="194"/>
      <c r="W6" s="197">
        <v>40760</v>
      </c>
      <c r="X6" s="236"/>
      <c r="Y6" s="202" t="s">
        <v>487</v>
      </c>
      <c r="Z6" s="207"/>
      <c r="AA6" s="209">
        <v>40791</v>
      </c>
      <c r="AB6" s="206"/>
      <c r="AC6" s="202" t="s">
        <v>1861</v>
      </c>
      <c r="AD6" s="207"/>
      <c r="AE6" s="206">
        <v>40821</v>
      </c>
      <c r="AF6" s="236"/>
    </row>
    <row r="7" spans="1:32" x14ac:dyDescent="0.25">
      <c r="A7" s="195" t="s">
        <v>487</v>
      </c>
      <c r="B7" s="196"/>
      <c r="C7" s="201">
        <v>40608</v>
      </c>
      <c r="D7" s="238"/>
      <c r="E7" s="208" t="s">
        <v>1861</v>
      </c>
      <c r="F7" s="196"/>
      <c r="G7" s="197">
        <v>40639</v>
      </c>
      <c r="H7" s="236"/>
      <c r="I7" s="198" t="s">
        <v>1860</v>
      </c>
      <c r="J7" s="217"/>
      <c r="K7" s="201">
        <v>40669</v>
      </c>
      <c r="L7" s="238"/>
      <c r="M7" s="202" t="s">
        <v>487</v>
      </c>
      <c r="N7" s="203"/>
      <c r="O7" s="204">
        <v>40700</v>
      </c>
      <c r="P7" s="238"/>
      <c r="Q7" s="202" t="s">
        <v>1861</v>
      </c>
      <c r="R7" s="203"/>
      <c r="S7" s="209">
        <v>40730</v>
      </c>
      <c r="T7" s="236"/>
      <c r="U7" s="205" t="s">
        <v>476</v>
      </c>
      <c r="V7" s="194"/>
      <c r="W7" s="197">
        <v>40761</v>
      </c>
      <c r="X7" s="236"/>
      <c r="Y7" s="202" t="s">
        <v>1859</v>
      </c>
      <c r="Z7" s="207"/>
      <c r="AA7" s="209">
        <v>40792</v>
      </c>
      <c r="AB7" s="206"/>
      <c r="AC7" s="198" t="s">
        <v>252</v>
      </c>
      <c r="AD7" s="207"/>
      <c r="AE7" s="206">
        <v>40822</v>
      </c>
      <c r="AF7" s="236"/>
    </row>
    <row r="8" spans="1:32" x14ac:dyDescent="0.25">
      <c r="A8" s="195" t="s">
        <v>487</v>
      </c>
      <c r="B8" s="196"/>
      <c r="C8" s="201">
        <v>40609</v>
      </c>
      <c r="D8" s="238"/>
      <c r="E8" s="198" t="s">
        <v>252</v>
      </c>
      <c r="F8" s="203"/>
      <c r="G8" s="209">
        <v>40640</v>
      </c>
      <c r="H8" s="254" t="s">
        <v>1650</v>
      </c>
      <c r="I8" s="202" t="s">
        <v>1862</v>
      </c>
      <c r="J8" s="217"/>
      <c r="K8" s="201">
        <v>40670</v>
      </c>
      <c r="L8" s="238"/>
      <c r="M8" s="202" t="s">
        <v>1859</v>
      </c>
      <c r="N8" s="203"/>
      <c r="O8" s="204">
        <v>40701</v>
      </c>
      <c r="P8" s="238"/>
      <c r="Q8" s="198" t="s">
        <v>252</v>
      </c>
      <c r="R8" s="194"/>
      <c r="S8" s="209">
        <v>40731</v>
      </c>
      <c r="T8" s="236"/>
      <c r="U8" s="205" t="s">
        <v>487</v>
      </c>
      <c r="V8" s="194"/>
      <c r="W8" s="197">
        <v>40762</v>
      </c>
      <c r="X8" s="236"/>
      <c r="Y8" s="202" t="s">
        <v>1861</v>
      </c>
      <c r="Z8" s="207"/>
      <c r="AA8" s="252">
        <v>40793</v>
      </c>
      <c r="AB8" s="253"/>
      <c r="AC8" s="198" t="s">
        <v>1860</v>
      </c>
      <c r="AD8" s="207"/>
      <c r="AE8" s="206">
        <v>40823</v>
      </c>
      <c r="AF8" s="236"/>
    </row>
    <row r="9" spans="1:32" x14ac:dyDescent="0.25">
      <c r="A9" s="195" t="s">
        <v>1859</v>
      </c>
      <c r="B9" s="196"/>
      <c r="C9" s="201">
        <v>40610</v>
      </c>
      <c r="D9" s="238"/>
      <c r="E9" s="198" t="s">
        <v>1860</v>
      </c>
      <c r="F9" s="203"/>
      <c r="G9" s="209">
        <v>40641</v>
      </c>
      <c r="H9" s="236"/>
      <c r="I9" s="202" t="s">
        <v>487</v>
      </c>
      <c r="J9" s="217"/>
      <c r="K9" s="201">
        <v>40671</v>
      </c>
      <c r="L9" s="238"/>
      <c r="M9" s="202" t="s">
        <v>1861</v>
      </c>
      <c r="N9" s="203"/>
      <c r="O9" s="204">
        <v>40702</v>
      </c>
      <c r="P9" s="238"/>
      <c r="Q9" s="198" t="s">
        <v>1860</v>
      </c>
      <c r="R9" s="194"/>
      <c r="S9" s="209">
        <v>40732</v>
      </c>
      <c r="T9" s="236"/>
      <c r="U9" s="205" t="s">
        <v>487</v>
      </c>
      <c r="V9" s="194"/>
      <c r="W9" s="197">
        <v>40763</v>
      </c>
      <c r="X9" s="236"/>
      <c r="Y9" s="198" t="s">
        <v>252</v>
      </c>
      <c r="Z9" s="207"/>
      <c r="AA9" s="197">
        <v>40794</v>
      </c>
      <c r="AB9" s="206"/>
      <c r="AC9" s="202" t="s">
        <v>476</v>
      </c>
      <c r="AD9" s="207"/>
      <c r="AE9" s="206">
        <v>40824</v>
      </c>
      <c r="AF9" s="236"/>
    </row>
    <row r="10" spans="1:32" x14ac:dyDescent="0.25">
      <c r="A10" s="195" t="s">
        <v>1861</v>
      </c>
      <c r="B10" s="196"/>
      <c r="C10" s="201">
        <v>40611</v>
      </c>
      <c r="D10" s="238"/>
      <c r="E10" s="208" t="s">
        <v>476</v>
      </c>
      <c r="F10" s="215"/>
      <c r="G10" s="209">
        <v>40642</v>
      </c>
      <c r="H10" s="236"/>
      <c r="I10" s="202" t="s">
        <v>487</v>
      </c>
      <c r="J10" s="217"/>
      <c r="K10" s="201">
        <v>40672</v>
      </c>
      <c r="L10" s="238"/>
      <c r="M10" s="198" t="s">
        <v>252</v>
      </c>
      <c r="N10" s="203"/>
      <c r="O10" s="204">
        <v>40703</v>
      </c>
      <c r="P10" s="238"/>
      <c r="Q10" s="202" t="s">
        <v>476</v>
      </c>
      <c r="R10" s="194"/>
      <c r="S10" s="209">
        <v>40733</v>
      </c>
      <c r="T10" s="236"/>
      <c r="U10" s="205" t="s">
        <v>1859</v>
      </c>
      <c r="V10" s="194"/>
      <c r="W10" s="197">
        <v>40764</v>
      </c>
      <c r="X10" s="236"/>
      <c r="Y10" s="198" t="s">
        <v>1860</v>
      </c>
      <c r="Z10" s="207"/>
      <c r="AA10" s="197">
        <v>40795</v>
      </c>
      <c r="AB10" s="206"/>
      <c r="AC10" s="202" t="s">
        <v>487</v>
      </c>
      <c r="AD10" s="207"/>
      <c r="AE10" s="210">
        <v>40825</v>
      </c>
      <c r="AF10" s="238"/>
    </row>
    <row r="11" spans="1:32" x14ac:dyDescent="0.25">
      <c r="A11" s="198" t="s">
        <v>252</v>
      </c>
      <c r="B11" s="203"/>
      <c r="C11" s="204">
        <v>40612</v>
      </c>
      <c r="D11" s="238"/>
      <c r="E11" s="208" t="s">
        <v>487</v>
      </c>
      <c r="F11" s="215"/>
      <c r="G11" s="209">
        <v>40643</v>
      </c>
      <c r="H11" s="236"/>
      <c r="I11" s="200" t="s">
        <v>1859</v>
      </c>
      <c r="J11" s="217"/>
      <c r="K11" s="201" t="s">
        <v>1863</v>
      </c>
      <c r="L11" s="238"/>
      <c r="M11" s="198" t="s">
        <v>1860</v>
      </c>
      <c r="N11" s="203"/>
      <c r="O11" s="204">
        <v>40704</v>
      </c>
      <c r="P11" s="238"/>
      <c r="Q11" s="202" t="s">
        <v>487</v>
      </c>
      <c r="R11" s="194"/>
      <c r="S11" s="209">
        <v>40734</v>
      </c>
      <c r="T11" s="236"/>
      <c r="U11" s="205" t="s">
        <v>1861</v>
      </c>
      <c r="V11" s="194"/>
      <c r="W11" s="197">
        <v>40765</v>
      </c>
      <c r="X11" s="236"/>
      <c r="Y11" s="202" t="s">
        <v>476</v>
      </c>
      <c r="Z11" s="207"/>
      <c r="AA11" s="197">
        <v>40796</v>
      </c>
      <c r="AB11" s="206"/>
      <c r="AC11" s="202" t="s">
        <v>487</v>
      </c>
      <c r="AD11" s="207"/>
      <c r="AE11" s="210">
        <v>40826</v>
      </c>
      <c r="AF11" s="238"/>
    </row>
    <row r="12" spans="1:32" x14ac:dyDescent="0.25">
      <c r="A12" s="198" t="s">
        <v>1860</v>
      </c>
      <c r="B12" s="203"/>
      <c r="C12" s="209">
        <v>40613</v>
      </c>
      <c r="D12" s="236"/>
      <c r="E12" s="208" t="s">
        <v>487</v>
      </c>
      <c r="F12" s="215"/>
      <c r="G12" s="209">
        <v>40644</v>
      </c>
      <c r="H12" s="236"/>
      <c r="I12" s="202" t="s">
        <v>1861</v>
      </c>
      <c r="J12" s="217"/>
      <c r="K12" s="201">
        <v>40674</v>
      </c>
      <c r="L12" s="238"/>
      <c r="M12" s="205" t="s">
        <v>476</v>
      </c>
      <c r="N12" s="211"/>
      <c r="O12" s="204">
        <v>40705</v>
      </c>
      <c r="P12" s="238"/>
      <c r="Q12" s="202" t="s">
        <v>487</v>
      </c>
      <c r="R12" s="194"/>
      <c r="S12" s="209">
        <v>40735</v>
      </c>
      <c r="T12" s="236"/>
      <c r="U12" s="198" t="s">
        <v>252</v>
      </c>
      <c r="V12" s="194"/>
      <c r="W12" s="197">
        <v>40766</v>
      </c>
      <c r="X12" s="236"/>
      <c r="Y12" s="202" t="s">
        <v>487</v>
      </c>
      <c r="Z12" s="207"/>
      <c r="AA12" s="197">
        <v>40797</v>
      </c>
      <c r="AB12" s="206"/>
      <c r="AC12" s="202" t="s">
        <v>1859</v>
      </c>
      <c r="AD12" s="207"/>
      <c r="AE12" s="210">
        <v>40827</v>
      </c>
      <c r="AF12" s="238"/>
    </row>
    <row r="13" spans="1:32" x14ac:dyDescent="0.25">
      <c r="A13" s="214" t="s">
        <v>476</v>
      </c>
      <c r="B13" s="216"/>
      <c r="C13" s="209">
        <v>40614</v>
      </c>
      <c r="D13" s="236"/>
      <c r="E13" s="208" t="s">
        <v>1859</v>
      </c>
      <c r="F13" s="215"/>
      <c r="G13" s="209">
        <v>40645</v>
      </c>
      <c r="H13" s="236"/>
      <c r="I13" s="198" t="s">
        <v>252</v>
      </c>
      <c r="J13" s="217"/>
      <c r="K13" s="201">
        <v>40675</v>
      </c>
      <c r="L13" s="238"/>
      <c r="M13" s="202" t="s">
        <v>487</v>
      </c>
      <c r="N13" s="203"/>
      <c r="O13" s="209">
        <v>40706</v>
      </c>
      <c r="P13" s="236"/>
      <c r="Q13" s="202" t="s">
        <v>1859</v>
      </c>
      <c r="R13" s="194"/>
      <c r="S13" s="209">
        <v>40736</v>
      </c>
      <c r="T13" s="236"/>
      <c r="U13" s="198" t="s">
        <v>1860</v>
      </c>
      <c r="V13" s="194"/>
      <c r="W13" s="197">
        <v>40767</v>
      </c>
      <c r="X13" s="236"/>
      <c r="Y13" s="202" t="s">
        <v>487</v>
      </c>
      <c r="Z13" s="207"/>
      <c r="AA13" s="197">
        <v>40798</v>
      </c>
      <c r="AB13" s="206"/>
      <c r="AC13" s="202" t="s">
        <v>1861</v>
      </c>
      <c r="AD13" s="207"/>
      <c r="AE13" s="210">
        <v>40828</v>
      </c>
      <c r="AF13" s="238"/>
    </row>
    <row r="14" spans="1:32" x14ac:dyDescent="0.25">
      <c r="A14" s="214" t="s">
        <v>487</v>
      </c>
      <c r="B14" s="216"/>
      <c r="C14" s="209">
        <v>40615</v>
      </c>
      <c r="D14" s="236"/>
      <c r="E14" s="208" t="s">
        <v>1861</v>
      </c>
      <c r="F14" s="215"/>
      <c r="G14" s="209">
        <v>40646</v>
      </c>
      <c r="H14" s="236"/>
      <c r="I14" s="198" t="s">
        <v>1860</v>
      </c>
      <c r="J14" s="217"/>
      <c r="K14" s="201">
        <v>40676</v>
      </c>
      <c r="L14" s="236"/>
      <c r="M14" s="202" t="s">
        <v>487</v>
      </c>
      <c r="N14" s="203"/>
      <c r="O14" s="209">
        <v>40707</v>
      </c>
      <c r="P14" s="236"/>
      <c r="Q14" s="202" t="s">
        <v>1861</v>
      </c>
      <c r="R14" s="194"/>
      <c r="S14" s="209">
        <v>40737</v>
      </c>
      <c r="T14" s="236"/>
      <c r="U14" s="205" t="s">
        <v>476</v>
      </c>
      <c r="V14" s="194"/>
      <c r="W14" s="197">
        <v>40768</v>
      </c>
      <c r="X14" s="236"/>
      <c r="Y14" s="202" t="s">
        <v>1859</v>
      </c>
      <c r="Z14" s="207"/>
      <c r="AA14" s="197">
        <v>40799</v>
      </c>
      <c r="AB14" s="206"/>
      <c r="AC14" s="198" t="s">
        <v>252</v>
      </c>
      <c r="AD14" s="207"/>
      <c r="AE14" s="210">
        <v>40829</v>
      </c>
      <c r="AF14" s="238"/>
    </row>
    <row r="15" spans="1:32" x14ac:dyDescent="0.25">
      <c r="A15" s="195" t="s">
        <v>487</v>
      </c>
      <c r="B15" s="215"/>
      <c r="C15" s="209">
        <v>40616</v>
      </c>
      <c r="D15" s="236"/>
      <c r="E15" s="198" t="s">
        <v>252</v>
      </c>
      <c r="F15" s="194"/>
      <c r="G15" s="197">
        <v>40647</v>
      </c>
      <c r="H15" s="254" t="s">
        <v>1870</v>
      </c>
      <c r="I15" s="205" t="s">
        <v>476</v>
      </c>
      <c r="J15" s="217"/>
      <c r="K15" s="201">
        <v>40677</v>
      </c>
      <c r="L15" s="238"/>
      <c r="M15" s="202" t="s">
        <v>1859</v>
      </c>
      <c r="N15" s="203"/>
      <c r="O15" s="209">
        <v>40708</v>
      </c>
      <c r="P15" s="236"/>
      <c r="Q15" s="198" t="s">
        <v>252</v>
      </c>
      <c r="R15" s="194"/>
      <c r="S15" s="209">
        <v>40738</v>
      </c>
      <c r="T15" s="236"/>
      <c r="U15" s="205" t="s">
        <v>487</v>
      </c>
      <c r="V15" s="194"/>
      <c r="W15" s="197">
        <v>40769</v>
      </c>
      <c r="X15" s="236"/>
      <c r="Y15" s="202" t="s">
        <v>1861</v>
      </c>
      <c r="Z15" s="207"/>
      <c r="AA15" s="197">
        <v>40800</v>
      </c>
      <c r="AB15" s="206"/>
      <c r="AC15" s="198" t="s">
        <v>1860</v>
      </c>
      <c r="AD15" s="207"/>
      <c r="AE15" s="210">
        <v>40830</v>
      </c>
      <c r="AF15" s="238"/>
    </row>
    <row r="16" spans="1:32" x14ac:dyDescent="0.25">
      <c r="A16" s="195" t="s">
        <v>1859</v>
      </c>
      <c r="B16" s="215"/>
      <c r="C16" s="209">
        <v>40617</v>
      </c>
      <c r="D16" s="236"/>
      <c r="E16" s="198" t="s">
        <v>1860</v>
      </c>
      <c r="F16" s="194"/>
      <c r="G16" s="197">
        <v>40648</v>
      </c>
      <c r="H16" s="236"/>
      <c r="I16" s="202" t="s">
        <v>487</v>
      </c>
      <c r="J16" s="199"/>
      <c r="K16" s="201">
        <v>40678</v>
      </c>
      <c r="L16" s="238"/>
      <c r="M16" s="202" t="s">
        <v>1861</v>
      </c>
      <c r="N16" s="203"/>
      <c r="O16" s="209">
        <v>40709</v>
      </c>
      <c r="P16" s="236"/>
      <c r="Q16" s="198" t="s">
        <v>1860</v>
      </c>
      <c r="R16" s="194"/>
      <c r="S16" s="209">
        <v>40739</v>
      </c>
      <c r="T16" s="236"/>
      <c r="U16" s="205" t="s">
        <v>487</v>
      </c>
      <c r="V16" s="194"/>
      <c r="W16" s="197">
        <v>40770</v>
      </c>
      <c r="X16" s="236"/>
      <c r="Y16" s="198" t="s">
        <v>252</v>
      </c>
      <c r="Z16" s="207"/>
      <c r="AA16" s="252">
        <v>40801</v>
      </c>
      <c r="AB16" s="253"/>
      <c r="AC16" s="202" t="s">
        <v>476</v>
      </c>
      <c r="AD16" s="207"/>
      <c r="AE16" s="210">
        <v>40831</v>
      </c>
      <c r="AF16" s="238"/>
    </row>
    <row r="17" spans="1:32" x14ac:dyDescent="0.25">
      <c r="A17" s="195" t="s">
        <v>1861</v>
      </c>
      <c r="B17" s="215"/>
      <c r="C17" s="209">
        <v>40618</v>
      </c>
      <c r="D17" s="236"/>
      <c r="E17" s="205" t="s">
        <v>476</v>
      </c>
      <c r="F17" s="194"/>
      <c r="G17" s="197">
        <v>40649</v>
      </c>
      <c r="H17" s="236"/>
      <c r="I17" s="202" t="s">
        <v>487</v>
      </c>
      <c r="J17" s="199"/>
      <c r="K17" s="201">
        <v>40679</v>
      </c>
      <c r="L17" s="238"/>
      <c r="M17" s="198" t="s">
        <v>252</v>
      </c>
      <c r="N17" s="199"/>
      <c r="O17" s="197">
        <v>40710</v>
      </c>
      <c r="P17" s="254" t="s">
        <v>1873</v>
      </c>
      <c r="Q17" s="218" t="s">
        <v>476</v>
      </c>
      <c r="R17" s="194"/>
      <c r="S17" s="209">
        <v>40740</v>
      </c>
      <c r="T17" s="236"/>
      <c r="U17" s="205" t="s">
        <v>1859</v>
      </c>
      <c r="V17" s="194"/>
      <c r="W17" s="197">
        <v>40771</v>
      </c>
      <c r="X17" s="236"/>
      <c r="Y17" s="198" t="s">
        <v>1860</v>
      </c>
      <c r="Z17" s="207"/>
      <c r="AA17" s="252">
        <v>40802</v>
      </c>
      <c r="AB17" s="253"/>
      <c r="AC17" s="202" t="s">
        <v>487</v>
      </c>
      <c r="AD17" s="207"/>
      <c r="AE17" s="210">
        <v>40832</v>
      </c>
      <c r="AF17" s="238"/>
    </row>
    <row r="18" spans="1:32" x14ac:dyDescent="0.25">
      <c r="A18" s="198" t="s">
        <v>252</v>
      </c>
      <c r="B18" s="199"/>
      <c r="C18" s="197">
        <v>40619</v>
      </c>
      <c r="D18" s="255" t="s">
        <v>1884</v>
      </c>
      <c r="E18" s="195" t="s">
        <v>487</v>
      </c>
      <c r="F18" s="194"/>
      <c r="G18" s="197">
        <v>40650</v>
      </c>
      <c r="H18" s="236"/>
      <c r="I18" s="202" t="s">
        <v>1859</v>
      </c>
      <c r="J18" s="199"/>
      <c r="K18" s="201">
        <v>40680</v>
      </c>
      <c r="L18" s="238"/>
      <c r="M18" s="198" t="s">
        <v>1860</v>
      </c>
      <c r="N18" s="199"/>
      <c r="O18" s="197">
        <v>40711</v>
      </c>
      <c r="P18" s="236" t="s">
        <v>1885</v>
      </c>
      <c r="Q18" s="218" t="s">
        <v>487</v>
      </c>
      <c r="R18" s="194"/>
      <c r="S18" s="209">
        <v>40741</v>
      </c>
      <c r="T18" s="236"/>
      <c r="U18" s="205" t="s">
        <v>1861</v>
      </c>
      <c r="V18" s="194"/>
      <c r="W18" s="197">
        <v>40772</v>
      </c>
      <c r="X18" s="236"/>
      <c r="Y18" s="202" t="s">
        <v>476</v>
      </c>
      <c r="Z18" s="207"/>
      <c r="AA18" s="252">
        <v>40803</v>
      </c>
      <c r="AB18" s="253"/>
      <c r="AC18" s="202" t="s">
        <v>487</v>
      </c>
      <c r="AD18" s="207"/>
      <c r="AE18" s="210">
        <v>40833</v>
      </c>
      <c r="AF18" s="238"/>
    </row>
    <row r="19" spans="1:32" x14ac:dyDescent="0.25">
      <c r="A19" s="198" t="s">
        <v>1860</v>
      </c>
      <c r="B19" s="199"/>
      <c r="C19" s="201">
        <v>40620</v>
      </c>
      <c r="D19" s="238"/>
      <c r="E19" s="195" t="s">
        <v>487</v>
      </c>
      <c r="F19" s="194"/>
      <c r="G19" s="197">
        <v>40651</v>
      </c>
      <c r="H19" s="236"/>
      <c r="I19" s="202" t="s">
        <v>1861</v>
      </c>
      <c r="J19" s="199"/>
      <c r="K19" s="201">
        <v>40681</v>
      </c>
      <c r="L19" s="254" t="s">
        <v>1871</v>
      </c>
      <c r="M19" s="205" t="s">
        <v>476</v>
      </c>
      <c r="N19" s="217"/>
      <c r="O19" s="197">
        <v>40712</v>
      </c>
      <c r="P19" s="236"/>
      <c r="Q19" s="218" t="s">
        <v>487</v>
      </c>
      <c r="R19" s="194"/>
      <c r="S19" s="209">
        <v>40742</v>
      </c>
      <c r="T19" s="236"/>
      <c r="U19" s="198" t="s">
        <v>252</v>
      </c>
      <c r="V19" s="194"/>
      <c r="W19" s="197">
        <v>40773</v>
      </c>
      <c r="X19" s="236"/>
      <c r="Y19" s="202" t="s">
        <v>487</v>
      </c>
      <c r="Z19" s="207"/>
      <c r="AA19" s="252">
        <v>40804</v>
      </c>
      <c r="AB19" s="253"/>
      <c r="AC19" s="202" t="s">
        <v>1859</v>
      </c>
      <c r="AD19" s="207"/>
      <c r="AE19" s="210">
        <v>40834</v>
      </c>
      <c r="AF19" s="238"/>
    </row>
    <row r="20" spans="1:32" x14ac:dyDescent="0.25">
      <c r="A20" s="214" t="s">
        <v>476</v>
      </c>
      <c r="B20" s="213"/>
      <c r="C20" s="201">
        <v>40621</v>
      </c>
      <c r="D20" s="293" t="s">
        <v>1879</v>
      </c>
      <c r="E20" s="195" t="s">
        <v>1859</v>
      </c>
      <c r="F20" s="194"/>
      <c r="G20" s="201">
        <v>40652</v>
      </c>
      <c r="H20" s="238"/>
      <c r="I20" s="198" t="s">
        <v>252</v>
      </c>
      <c r="J20" s="203"/>
      <c r="K20" s="204">
        <v>40682</v>
      </c>
      <c r="L20" s="238"/>
      <c r="M20" s="202" t="s">
        <v>487</v>
      </c>
      <c r="N20" s="199"/>
      <c r="O20" s="197">
        <v>40713</v>
      </c>
      <c r="P20" s="236"/>
      <c r="Q20" s="218" t="s">
        <v>1859</v>
      </c>
      <c r="R20" s="194"/>
      <c r="S20" s="209">
        <v>40743</v>
      </c>
      <c r="T20" s="236"/>
      <c r="U20" s="198" t="s">
        <v>1860</v>
      </c>
      <c r="V20" s="194"/>
      <c r="W20" s="197">
        <v>40774</v>
      </c>
      <c r="X20" s="236"/>
      <c r="Y20" s="202" t="s">
        <v>487</v>
      </c>
      <c r="Z20" s="207"/>
      <c r="AA20" s="252">
        <v>40805</v>
      </c>
      <c r="AB20" s="253"/>
      <c r="AC20" s="202" t="s">
        <v>1861</v>
      </c>
      <c r="AD20" s="207"/>
      <c r="AE20" s="210">
        <v>40835</v>
      </c>
      <c r="AF20" s="238"/>
    </row>
    <row r="21" spans="1:32" x14ac:dyDescent="0.25">
      <c r="A21" s="195" t="s">
        <v>487</v>
      </c>
      <c r="B21" s="196"/>
      <c r="C21" s="201">
        <v>40622</v>
      </c>
      <c r="D21" s="294"/>
      <c r="E21" s="195" t="s">
        <v>1861</v>
      </c>
      <c r="F21" s="194"/>
      <c r="G21" s="201">
        <v>40653</v>
      </c>
      <c r="H21" s="238"/>
      <c r="I21" s="198" t="s">
        <v>1860</v>
      </c>
      <c r="J21" s="203"/>
      <c r="K21" s="204">
        <v>40683</v>
      </c>
      <c r="L21" s="238"/>
      <c r="M21" s="202" t="s">
        <v>487</v>
      </c>
      <c r="N21" s="199"/>
      <c r="O21" s="197">
        <v>40714</v>
      </c>
      <c r="P21" s="236"/>
      <c r="Q21" s="218" t="s">
        <v>1861</v>
      </c>
      <c r="R21" s="194"/>
      <c r="S21" s="209">
        <v>40744</v>
      </c>
      <c r="T21" s="236"/>
      <c r="U21" s="205" t="s">
        <v>476</v>
      </c>
      <c r="V21" s="194"/>
      <c r="W21" s="197">
        <v>40775</v>
      </c>
      <c r="X21" s="236"/>
      <c r="Y21" s="202" t="s">
        <v>1859</v>
      </c>
      <c r="Z21" s="207"/>
      <c r="AA21" s="210">
        <v>40806</v>
      </c>
      <c r="AB21" s="296" t="s">
        <v>1883</v>
      </c>
      <c r="AC21" s="198" t="s">
        <v>252</v>
      </c>
      <c r="AD21" s="207"/>
      <c r="AE21" s="210">
        <v>40836</v>
      </c>
      <c r="AF21" s="238"/>
    </row>
    <row r="22" spans="1:32" x14ac:dyDescent="0.25">
      <c r="A22" s="195" t="s">
        <v>487</v>
      </c>
      <c r="B22" s="196"/>
      <c r="C22" s="201">
        <v>40623</v>
      </c>
      <c r="D22" s="294"/>
      <c r="E22" s="198" t="s">
        <v>252</v>
      </c>
      <c r="F22" s="194"/>
      <c r="G22" s="201">
        <v>40654</v>
      </c>
      <c r="H22" s="238"/>
      <c r="I22" s="202" t="s">
        <v>1864</v>
      </c>
      <c r="J22" s="203"/>
      <c r="K22" s="204" t="s">
        <v>1865</v>
      </c>
      <c r="L22" s="238"/>
      <c r="M22" s="202" t="s">
        <v>1859</v>
      </c>
      <c r="N22" s="199"/>
      <c r="O22" s="197">
        <v>40715</v>
      </c>
      <c r="P22" s="236"/>
      <c r="Q22" s="218" t="s">
        <v>252</v>
      </c>
      <c r="R22" s="194"/>
      <c r="S22" s="209">
        <v>40745</v>
      </c>
      <c r="T22" s="236"/>
      <c r="U22" s="205" t="s">
        <v>487</v>
      </c>
      <c r="V22" s="194"/>
      <c r="W22" s="197">
        <v>40776</v>
      </c>
      <c r="X22" s="236"/>
      <c r="Y22" s="202" t="s">
        <v>1861</v>
      </c>
      <c r="Z22" s="207"/>
      <c r="AA22" s="197">
        <v>40807</v>
      </c>
      <c r="AB22" s="297"/>
      <c r="AC22" s="198" t="s">
        <v>1860</v>
      </c>
      <c r="AD22" s="207"/>
      <c r="AE22" s="206">
        <v>40837</v>
      </c>
      <c r="AF22" s="236"/>
    </row>
    <row r="23" spans="1:32" x14ac:dyDescent="0.25">
      <c r="A23" s="195" t="s">
        <v>1859</v>
      </c>
      <c r="B23" s="196"/>
      <c r="C23" s="201">
        <v>40624</v>
      </c>
      <c r="D23" s="294"/>
      <c r="E23" s="198" t="s">
        <v>1860</v>
      </c>
      <c r="F23" s="194"/>
      <c r="G23" s="204">
        <v>40655</v>
      </c>
      <c r="H23" s="238"/>
      <c r="I23" s="202" t="s">
        <v>487</v>
      </c>
      <c r="J23" s="203"/>
      <c r="K23" s="204">
        <v>40685</v>
      </c>
      <c r="L23" s="238"/>
      <c r="M23" s="202" t="s">
        <v>1861</v>
      </c>
      <c r="N23" s="199"/>
      <c r="O23" s="197">
        <v>40716</v>
      </c>
      <c r="P23" s="236" t="s">
        <v>1886</v>
      </c>
      <c r="Q23" s="218" t="s">
        <v>1860</v>
      </c>
      <c r="R23" s="194"/>
      <c r="S23" s="248" t="s">
        <v>1878</v>
      </c>
      <c r="U23" s="205" t="s">
        <v>487</v>
      </c>
      <c r="V23" s="194"/>
      <c r="W23" s="197">
        <v>40777</v>
      </c>
      <c r="X23" s="236"/>
      <c r="Y23" s="198" t="s">
        <v>252</v>
      </c>
      <c r="Z23" s="207"/>
      <c r="AA23" s="197">
        <v>40808</v>
      </c>
      <c r="AB23" s="297"/>
      <c r="AC23" s="202" t="s">
        <v>476</v>
      </c>
      <c r="AD23" s="207"/>
      <c r="AE23" s="206">
        <v>40838</v>
      </c>
      <c r="AF23" s="236"/>
    </row>
    <row r="24" spans="1:32" x14ac:dyDescent="0.25">
      <c r="A24" s="195" t="s">
        <v>1861</v>
      </c>
      <c r="B24" s="196"/>
      <c r="C24" s="201">
        <v>40625</v>
      </c>
      <c r="D24" s="295"/>
      <c r="E24" s="214" t="s">
        <v>476</v>
      </c>
      <c r="F24" s="194"/>
      <c r="G24" s="204">
        <v>40656</v>
      </c>
      <c r="H24" s="238"/>
      <c r="I24" s="202" t="s">
        <v>487</v>
      </c>
      <c r="J24" s="203"/>
      <c r="K24" s="204">
        <v>40686</v>
      </c>
      <c r="L24" s="238"/>
      <c r="M24" s="198" t="s">
        <v>252</v>
      </c>
      <c r="N24" s="199"/>
      <c r="O24" s="201">
        <v>40717</v>
      </c>
      <c r="P24" s="254" t="s">
        <v>629</v>
      </c>
      <c r="Q24" s="202" t="s">
        <v>476</v>
      </c>
      <c r="R24" s="194"/>
      <c r="S24" s="248">
        <v>40747</v>
      </c>
      <c r="U24" s="205" t="s">
        <v>1859</v>
      </c>
      <c r="V24" s="194"/>
      <c r="W24" s="197">
        <v>40778</v>
      </c>
      <c r="X24" s="236"/>
      <c r="Y24" s="198" t="s">
        <v>1860</v>
      </c>
      <c r="Z24" s="207"/>
      <c r="AA24" s="197">
        <v>40809</v>
      </c>
      <c r="AB24" s="298"/>
      <c r="AC24" s="202" t="s">
        <v>487</v>
      </c>
      <c r="AD24" s="207"/>
      <c r="AE24" s="206">
        <v>40839</v>
      </c>
      <c r="AF24" s="236"/>
    </row>
    <row r="25" spans="1:32" x14ac:dyDescent="0.25">
      <c r="A25" s="198" t="s">
        <v>252</v>
      </c>
      <c r="B25" s="203"/>
      <c r="C25" s="204">
        <v>40626</v>
      </c>
      <c r="D25" s="238"/>
      <c r="E25" s="195" t="s">
        <v>487</v>
      </c>
      <c r="F25" s="194"/>
      <c r="G25" s="204">
        <v>40657</v>
      </c>
      <c r="H25" s="238"/>
      <c r="I25" s="202" t="s">
        <v>1859</v>
      </c>
      <c r="J25" s="203"/>
      <c r="K25" s="204">
        <v>40687</v>
      </c>
      <c r="L25" s="238"/>
      <c r="M25" s="198" t="s">
        <v>1860</v>
      </c>
      <c r="N25" s="199"/>
      <c r="O25" s="201">
        <v>40718</v>
      </c>
      <c r="P25" s="238"/>
      <c r="Q25" s="202" t="s">
        <v>487</v>
      </c>
      <c r="R25" s="194"/>
      <c r="S25" s="248">
        <v>40748</v>
      </c>
      <c r="U25" s="205" t="s">
        <v>1861</v>
      </c>
      <c r="V25" s="194"/>
      <c r="W25" s="197">
        <v>40779</v>
      </c>
      <c r="X25" s="236"/>
      <c r="Y25" s="202" t="s">
        <v>476</v>
      </c>
      <c r="Z25" s="207"/>
      <c r="AA25" s="197">
        <v>40810</v>
      </c>
      <c r="AB25" s="238"/>
      <c r="AC25" s="202" t="s">
        <v>487</v>
      </c>
      <c r="AD25" s="207"/>
      <c r="AE25" s="206">
        <v>40840</v>
      </c>
      <c r="AF25" s="236"/>
    </row>
    <row r="26" spans="1:32" x14ac:dyDescent="0.25">
      <c r="A26" s="198" t="s">
        <v>1860</v>
      </c>
      <c r="B26" s="203"/>
      <c r="C26" s="209">
        <v>40627</v>
      </c>
      <c r="D26" s="236"/>
      <c r="E26" s="195" t="s">
        <v>487</v>
      </c>
      <c r="F26" s="194"/>
      <c r="G26" s="204">
        <v>40658</v>
      </c>
      <c r="H26" s="238"/>
      <c r="I26" s="202" t="s">
        <v>1861</v>
      </c>
      <c r="J26" s="203"/>
      <c r="K26" s="204">
        <v>40688</v>
      </c>
      <c r="L26" s="238" t="s">
        <v>1876</v>
      </c>
      <c r="M26" s="205" t="s">
        <v>476</v>
      </c>
      <c r="N26" s="217"/>
      <c r="O26" s="201">
        <v>40719</v>
      </c>
      <c r="P26" s="238"/>
      <c r="Q26" s="202" t="s">
        <v>487</v>
      </c>
      <c r="R26" s="194"/>
      <c r="S26" s="248">
        <v>40749</v>
      </c>
      <c r="U26" s="198" t="s">
        <v>252</v>
      </c>
      <c r="V26" s="194"/>
      <c r="W26" s="197">
        <v>40780</v>
      </c>
      <c r="X26" s="236"/>
      <c r="Y26" s="205" t="s">
        <v>487</v>
      </c>
      <c r="Z26" s="219"/>
      <c r="AA26" s="197">
        <v>40811</v>
      </c>
      <c r="AB26" s="236"/>
      <c r="AC26" s="202" t="s">
        <v>1859</v>
      </c>
      <c r="AD26" s="207"/>
      <c r="AE26" s="206">
        <v>40841</v>
      </c>
      <c r="AF26" s="236"/>
    </row>
    <row r="27" spans="1:32" x14ac:dyDescent="0.25">
      <c r="A27" s="214" t="s">
        <v>476</v>
      </c>
      <c r="B27" s="216"/>
      <c r="C27" s="204">
        <v>40628</v>
      </c>
      <c r="D27" s="238"/>
      <c r="E27" s="195" t="s">
        <v>1859</v>
      </c>
      <c r="F27" s="194"/>
      <c r="G27" s="209">
        <v>40659</v>
      </c>
      <c r="H27" s="236"/>
      <c r="I27" s="198" t="s">
        <v>252</v>
      </c>
      <c r="J27" s="199"/>
      <c r="K27" s="201">
        <v>40689</v>
      </c>
      <c r="L27" s="255" t="s">
        <v>1872</v>
      </c>
      <c r="M27" s="202" t="s">
        <v>487</v>
      </c>
      <c r="N27" s="199"/>
      <c r="O27" s="201">
        <v>40720</v>
      </c>
      <c r="P27" s="238"/>
      <c r="Q27" s="205" t="s">
        <v>1859</v>
      </c>
      <c r="R27" s="194"/>
      <c r="S27" s="248">
        <v>40750</v>
      </c>
      <c r="U27" s="198" t="s">
        <v>1860</v>
      </c>
      <c r="V27" s="194"/>
      <c r="W27" s="197">
        <v>40781</v>
      </c>
      <c r="X27" s="236"/>
      <c r="Y27" s="202" t="s">
        <v>487</v>
      </c>
      <c r="Z27" s="207"/>
      <c r="AA27" s="197">
        <v>40812</v>
      </c>
      <c r="AB27" s="236"/>
      <c r="AC27" s="205" t="s">
        <v>1861</v>
      </c>
      <c r="AD27" s="219"/>
      <c r="AE27" s="206">
        <v>40842</v>
      </c>
      <c r="AF27" s="236"/>
    </row>
    <row r="28" spans="1:32" x14ac:dyDescent="0.25">
      <c r="A28" s="195" t="s">
        <v>487</v>
      </c>
      <c r="B28" s="215"/>
      <c r="C28" s="209">
        <v>40629</v>
      </c>
      <c r="D28" s="236"/>
      <c r="E28" s="195" t="s">
        <v>1861</v>
      </c>
      <c r="F28" s="194"/>
      <c r="G28" s="209">
        <v>40660</v>
      </c>
      <c r="H28" s="236"/>
      <c r="I28" s="198" t="s">
        <v>1860</v>
      </c>
      <c r="J28" s="199"/>
      <c r="K28" s="201">
        <v>40690</v>
      </c>
      <c r="L28" s="238"/>
      <c r="M28" s="202" t="s">
        <v>487</v>
      </c>
      <c r="N28" s="199"/>
      <c r="O28" s="201">
        <v>40721</v>
      </c>
      <c r="P28" s="238"/>
      <c r="Q28" s="202" t="s">
        <v>1861</v>
      </c>
      <c r="R28" s="194"/>
      <c r="S28" s="248">
        <v>40751</v>
      </c>
      <c r="U28" s="202" t="s">
        <v>476</v>
      </c>
      <c r="V28" s="194"/>
      <c r="W28" s="197">
        <v>40782</v>
      </c>
      <c r="X28" s="236"/>
      <c r="Y28" s="202" t="s">
        <v>1859</v>
      </c>
      <c r="Z28" s="207"/>
      <c r="AA28" s="197">
        <v>40813</v>
      </c>
      <c r="AB28" s="236"/>
      <c r="AC28" s="198" t="s">
        <v>252</v>
      </c>
      <c r="AD28" s="207"/>
      <c r="AE28" s="206">
        <v>40843</v>
      </c>
      <c r="AF28" s="236"/>
    </row>
    <row r="29" spans="1:32" x14ac:dyDescent="0.25">
      <c r="A29" s="195" t="s">
        <v>487</v>
      </c>
      <c r="B29" s="215"/>
      <c r="C29" s="204">
        <v>40630</v>
      </c>
      <c r="D29" s="238"/>
      <c r="E29" s="198" t="s">
        <v>252</v>
      </c>
      <c r="F29" s="194"/>
      <c r="G29" s="209">
        <v>40661</v>
      </c>
      <c r="H29" s="254" t="s">
        <v>1535</v>
      </c>
      <c r="I29" s="202" t="s">
        <v>476</v>
      </c>
      <c r="J29" s="199"/>
      <c r="K29" s="201">
        <v>40691</v>
      </c>
      <c r="L29" s="238"/>
      <c r="M29" s="202" t="s">
        <v>1859</v>
      </c>
      <c r="N29" s="199"/>
      <c r="O29" s="201">
        <v>40722</v>
      </c>
      <c r="P29" s="238"/>
      <c r="Q29" s="198" t="s">
        <v>252</v>
      </c>
      <c r="R29" s="194"/>
      <c r="S29" s="248" t="s">
        <v>1878</v>
      </c>
      <c r="U29" s="205" t="s">
        <v>487</v>
      </c>
      <c r="V29" s="194"/>
      <c r="W29" s="197">
        <v>40783</v>
      </c>
      <c r="X29" s="236"/>
      <c r="Y29" s="202" t="s">
        <v>1861</v>
      </c>
      <c r="Z29" s="207"/>
      <c r="AA29" s="206">
        <v>40814</v>
      </c>
      <c r="AB29" s="240" t="s">
        <v>1868</v>
      </c>
      <c r="AC29" s="198" t="s">
        <v>1860</v>
      </c>
      <c r="AD29" s="207"/>
      <c r="AE29" s="206">
        <v>40844</v>
      </c>
      <c r="AF29" s="236"/>
    </row>
    <row r="30" spans="1:32" x14ac:dyDescent="0.25">
      <c r="A30" s="195" t="s">
        <v>1859</v>
      </c>
      <c r="B30" s="215"/>
      <c r="C30" s="209">
        <v>40631</v>
      </c>
      <c r="D30" s="236"/>
      <c r="E30" s="198" t="s">
        <v>1860</v>
      </c>
      <c r="F30" s="194"/>
      <c r="G30" s="209">
        <v>40662</v>
      </c>
      <c r="H30" s="236"/>
      <c r="I30" s="202" t="s">
        <v>487</v>
      </c>
      <c r="J30" s="199"/>
      <c r="K30" s="197">
        <v>40692</v>
      </c>
      <c r="L30" s="236"/>
      <c r="M30" s="202" t="s">
        <v>1861</v>
      </c>
      <c r="N30" s="199"/>
      <c r="O30" s="201">
        <v>40723</v>
      </c>
      <c r="P30" s="238"/>
      <c r="Q30" s="198" t="s">
        <v>1860</v>
      </c>
      <c r="R30" s="194"/>
      <c r="S30" s="209">
        <v>40753</v>
      </c>
      <c r="U30" s="205" t="s">
        <v>487</v>
      </c>
      <c r="V30" s="194"/>
      <c r="W30" s="197">
        <v>40784</v>
      </c>
      <c r="X30" s="236"/>
      <c r="Y30" s="198" t="s">
        <v>252</v>
      </c>
      <c r="Z30" s="207"/>
      <c r="AA30" s="206">
        <v>40815</v>
      </c>
      <c r="AB30" s="240" t="s">
        <v>1866</v>
      </c>
      <c r="AC30" s="202" t="s">
        <v>476</v>
      </c>
      <c r="AD30" s="207"/>
      <c r="AE30" s="206">
        <v>40845</v>
      </c>
      <c r="AF30" s="236"/>
    </row>
    <row r="31" spans="1:32" x14ac:dyDescent="0.25">
      <c r="A31" s="195" t="s">
        <v>1861</v>
      </c>
      <c r="B31" s="215"/>
      <c r="C31" s="204">
        <v>40632</v>
      </c>
      <c r="D31" s="238"/>
      <c r="E31" s="212" t="s">
        <v>476</v>
      </c>
      <c r="F31" s="215"/>
      <c r="G31" s="209">
        <v>40663</v>
      </c>
      <c r="H31" s="236"/>
      <c r="I31" s="202" t="s">
        <v>487</v>
      </c>
      <c r="J31" s="199"/>
      <c r="K31" s="197">
        <v>40693</v>
      </c>
      <c r="L31" s="236"/>
      <c r="M31" s="198" t="s">
        <v>252</v>
      </c>
      <c r="N31" s="203"/>
      <c r="O31" s="204">
        <v>40724</v>
      </c>
      <c r="P31" s="238"/>
      <c r="Q31" s="205" t="s">
        <v>476</v>
      </c>
      <c r="R31" s="194"/>
      <c r="S31" s="209">
        <v>40754</v>
      </c>
      <c r="U31" s="205" t="s">
        <v>1859</v>
      </c>
      <c r="V31" s="194"/>
      <c r="W31" s="197">
        <v>40785</v>
      </c>
      <c r="X31" s="236"/>
      <c r="Y31" s="220" t="s">
        <v>1860</v>
      </c>
      <c r="Z31" s="221"/>
      <c r="AA31" s="206">
        <v>40816</v>
      </c>
      <c r="AB31" s="236"/>
      <c r="AC31" s="202" t="s">
        <v>487</v>
      </c>
      <c r="AD31" s="207"/>
      <c r="AE31" s="206">
        <v>40846</v>
      </c>
      <c r="AF31" s="236"/>
    </row>
    <row r="32" spans="1:32" ht="13.8" thickBot="1" x14ac:dyDescent="0.3">
      <c r="A32" s="226" t="s">
        <v>252</v>
      </c>
      <c r="B32" s="227"/>
      <c r="C32" s="222">
        <v>40633</v>
      </c>
      <c r="D32" s="255" t="s">
        <v>644</v>
      </c>
      <c r="E32" s="223"/>
      <c r="F32" s="224"/>
      <c r="G32" s="225"/>
      <c r="H32" s="231"/>
      <c r="I32" s="226" t="s">
        <v>1859</v>
      </c>
      <c r="J32" s="228"/>
      <c r="K32" s="222">
        <v>40694</v>
      </c>
      <c r="L32" s="237"/>
      <c r="M32" s="223"/>
      <c r="N32" s="224"/>
      <c r="O32" s="225"/>
      <c r="P32" s="231"/>
      <c r="Q32" s="226" t="s">
        <v>487</v>
      </c>
      <c r="R32" s="194"/>
      <c r="S32" s="209">
        <v>40755</v>
      </c>
      <c r="U32" s="230" t="s">
        <v>1861</v>
      </c>
      <c r="V32" s="194"/>
      <c r="W32" s="197">
        <v>40786</v>
      </c>
      <c r="X32" s="239"/>
      <c r="Y32" s="66"/>
      <c r="Z32" s="231"/>
      <c r="AA32" s="225"/>
      <c r="AB32" s="231"/>
      <c r="AC32" s="232" t="s">
        <v>487</v>
      </c>
      <c r="AD32" s="233"/>
      <c r="AE32" s="229">
        <v>40847</v>
      </c>
      <c r="AF32" s="237"/>
    </row>
    <row r="33" spans="1:8" x14ac:dyDescent="0.25">
      <c r="A33" s="234"/>
      <c r="G33" s="136"/>
    </row>
    <row r="35" spans="1:8" x14ac:dyDescent="0.25">
      <c r="H35" s="240" t="s">
        <v>1867</v>
      </c>
    </row>
    <row r="36" spans="1:8" x14ac:dyDescent="0.25">
      <c r="H36" s="241" t="s">
        <v>1869</v>
      </c>
    </row>
  </sheetData>
  <mergeCells count="10">
    <mergeCell ref="Q1:S1"/>
    <mergeCell ref="U1:W1"/>
    <mergeCell ref="Y1:AA1"/>
    <mergeCell ref="AC1:AE1"/>
    <mergeCell ref="AB21:AB24"/>
    <mergeCell ref="A1:C1"/>
    <mergeCell ref="E1:G1"/>
    <mergeCell ref="I1:K1"/>
    <mergeCell ref="M1:O1"/>
    <mergeCell ref="D20:D24"/>
  </mergeCells>
  <hyperlinks>
    <hyperlink ref="D32" r:id="rId1"/>
    <hyperlink ref="H8" r:id="rId2"/>
    <hyperlink ref="L19" r:id="rId3"/>
    <hyperlink ref="L27" r:id="rId4"/>
    <hyperlink ref="P17" r:id="rId5"/>
    <hyperlink ref="P24" r:id="rId6"/>
    <hyperlink ref="AB2" r:id="rId7"/>
    <hyperlink ref="H29" r:id="rId8"/>
  </hyperlinks>
  <pageMargins left="0.7" right="0.7" top="0.75" bottom="0.75" header="0.3" footer="0.3"/>
  <pageSetup paperSize="9" scale="74" orientation="landscape" r:id="rId9"/>
  <legacyDrawing r:id="rId1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Q93"/>
  <sheetViews>
    <sheetView zoomScaleNormal="100" workbookViewId="0">
      <pane ySplit="1" topLeftCell="A2" activePane="bottomLeft" state="frozenSplit"/>
      <selection pane="bottomLeft" activeCell="M48" sqref="M48:M54"/>
    </sheetView>
  </sheetViews>
  <sheetFormatPr baseColWidth="10" defaultColWidth="11.44140625" defaultRowHeight="10.199999999999999" x14ac:dyDescent="0.2"/>
  <cols>
    <col min="1" max="1" width="4.109375" style="41" customWidth="1"/>
    <col min="2" max="2" width="9.88671875" style="41" bestFit="1" customWidth="1"/>
    <col min="3" max="3" width="8.6640625" style="41" bestFit="1" customWidth="1"/>
    <col min="4" max="4" width="9.33203125" style="41" bestFit="1" customWidth="1"/>
    <col min="5" max="5" width="13.5546875" style="41" customWidth="1"/>
    <col min="6" max="9" width="11.44140625" style="41" customWidth="1"/>
    <col min="10" max="10" width="7.88671875" style="41" customWidth="1"/>
    <col min="11" max="11" width="7.88671875" style="59" customWidth="1"/>
    <col min="12" max="13" width="7.88671875" style="41" customWidth="1"/>
    <col min="14" max="14" width="11.44140625" style="41" customWidth="1"/>
    <col min="15" max="15" width="95" style="112" customWidth="1"/>
    <col min="16" max="16" width="56.109375" style="43" customWidth="1"/>
    <col min="17" max="17" width="36.109375" style="41" customWidth="1"/>
    <col min="18" max="16384" width="11.44140625" style="41"/>
  </cols>
  <sheetData>
    <row r="1" spans="1:17" s="53" customFormat="1" ht="30.6" x14ac:dyDescent="0.25">
      <c r="A1" s="45" t="s">
        <v>1178</v>
      </c>
      <c r="B1" s="45" t="s">
        <v>1164</v>
      </c>
      <c r="C1" s="52" t="s">
        <v>1165</v>
      </c>
      <c r="D1" s="45" t="s">
        <v>1166</v>
      </c>
      <c r="E1" s="45" t="s">
        <v>1167</v>
      </c>
      <c r="F1" s="45" t="s">
        <v>530</v>
      </c>
      <c r="G1" s="45" t="s">
        <v>531</v>
      </c>
      <c r="H1" s="45" t="s">
        <v>1829</v>
      </c>
      <c r="I1" s="45" t="s">
        <v>1177</v>
      </c>
      <c r="J1" s="45" t="s">
        <v>1173</v>
      </c>
      <c r="K1" s="58" t="s">
        <v>411</v>
      </c>
      <c r="L1" s="45" t="s">
        <v>1175</v>
      </c>
      <c r="M1" s="75" t="s">
        <v>321</v>
      </c>
      <c r="N1" s="45" t="s">
        <v>1179</v>
      </c>
      <c r="O1" s="39" t="s">
        <v>383</v>
      </c>
      <c r="P1" s="45" t="s">
        <v>384</v>
      </c>
      <c r="Q1" s="53" t="s">
        <v>205</v>
      </c>
    </row>
    <row r="2" spans="1:17" ht="102" hidden="1" x14ac:dyDescent="0.2">
      <c r="A2" s="41">
        <v>1</v>
      </c>
      <c r="B2" s="41">
        <v>712</v>
      </c>
      <c r="C2" s="42">
        <v>42742</v>
      </c>
      <c r="D2" s="41" t="s">
        <v>157</v>
      </c>
      <c r="E2" s="41" t="s">
        <v>532</v>
      </c>
      <c r="F2" s="41" t="s">
        <v>305</v>
      </c>
      <c r="G2" s="41" t="s">
        <v>306</v>
      </c>
      <c r="I2" s="41" t="s">
        <v>307</v>
      </c>
      <c r="J2" s="41">
        <v>2150</v>
      </c>
      <c r="K2" s="59">
        <v>13</v>
      </c>
      <c r="L2" s="41">
        <v>11</v>
      </c>
      <c r="M2" s="76">
        <f>(L2/60)</f>
        <v>0.18333333333333332</v>
      </c>
      <c r="O2" s="112" t="s">
        <v>308</v>
      </c>
    </row>
    <row r="3" spans="1:17" hidden="1" x14ac:dyDescent="0.2">
      <c r="C3" s="42">
        <v>42758</v>
      </c>
      <c r="D3" s="41" t="s">
        <v>157</v>
      </c>
      <c r="E3" s="41" t="s">
        <v>317</v>
      </c>
      <c r="L3" s="41">
        <v>0</v>
      </c>
      <c r="M3" s="76">
        <f t="shared" ref="M3:M65" si="0">(M2+L3/60)</f>
        <v>0.18333333333333332</v>
      </c>
      <c r="O3" s="112" t="s">
        <v>310</v>
      </c>
    </row>
    <row r="4" spans="1:17" hidden="1" x14ac:dyDescent="0.2">
      <c r="C4" s="42">
        <v>42759</v>
      </c>
      <c r="D4" s="41" t="s">
        <v>157</v>
      </c>
      <c r="E4" s="41" t="s">
        <v>309</v>
      </c>
      <c r="L4" s="41">
        <v>0</v>
      </c>
      <c r="M4" s="76">
        <f t="shared" si="0"/>
        <v>0.18333333333333332</v>
      </c>
      <c r="O4" s="112" t="s">
        <v>311</v>
      </c>
    </row>
    <row r="5" spans="1:17" hidden="1" x14ac:dyDescent="0.2">
      <c r="C5" s="42">
        <v>42763</v>
      </c>
      <c r="D5" s="41" t="s">
        <v>157</v>
      </c>
      <c r="E5" s="41" t="s">
        <v>309</v>
      </c>
      <c r="L5" s="41">
        <v>0</v>
      </c>
      <c r="M5" s="76">
        <f t="shared" si="0"/>
        <v>0.18333333333333332</v>
      </c>
      <c r="O5" s="112" t="s">
        <v>310</v>
      </c>
    </row>
    <row r="6" spans="1:17" hidden="1" x14ac:dyDescent="0.2">
      <c r="C6" s="42">
        <v>42793</v>
      </c>
      <c r="D6" s="41" t="s">
        <v>157</v>
      </c>
      <c r="E6" s="41" t="s">
        <v>309</v>
      </c>
      <c r="L6" s="41">
        <v>0</v>
      </c>
      <c r="M6" s="76">
        <f t="shared" si="0"/>
        <v>0.18333333333333332</v>
      </c>
      <c r="O6" s="112" t="s">
        <v>318</v>
      </c>
    </row>
    <row r="7" spans="1:17" ht="81.599999999999994" hidden="1" x14ac:dyDescent="0.2">
      <c r="A7" s="41">
        <v>1</v>
      </c>
      <c r="B7" s="41">
        <v>713</v>
      </c>
      <c r="C7" s="42">
        <v>42796</v>
      </c>
      <c r="D7" s="41" t="s">
        <v>157</v>
      </c>
      <c r="E7" s="41" t="s">
        <v>532</v>
      </c>
      <c r="F7" s="41" t="s">
        <v>1650</v>
      </c>
      <c r="G7" s="41" t="s">
        <v>1650</v>
      </c>
      <c r="I7" s="41" t="s">
        <v>319</v>
      </c>
      <c r="J7" s="41">
        <v>1600</v>
      </c>
      <c r="K7" s="59">
        <v>0.50347222222222221</v>
      </c>
      <c r="L7" s="41">
        <v>165</v>
      </c>
      <c r="M7" s="76">
        <f t="shared" si="0"/>
        <v>2.9333333333333331</v>
      </c>
      <c r="O7" s="112" t="s">
        <v>53</v>
      </c>
      <c r="P7" s="43" t="s">
        <v>320</v>
      </c>
    </row>
    <row r="8" spans="1:17" ht="20.399999999999999" hidden="1" x14ac:dyDescent="0.2">
      <c r="A8" s="41">
        <v>1</v>
      </c>
      <c r="B8" s="41">
        <v>714</v>
      </c>
      <c r="C8" s="42">
        <v>42804</v>
      </c>
      <c r="D8" s="41" t="s">
        <v>157</v>
      </c>
      <c r="E8" s="41" t="s">
        <v>532</v>
      </c>
      <c r="F8" s="41" t="s">
        <v>1650</v>
      </c>
      <c r="G8" s="41" t="s">
        <v>1650</v>
      </c>
      <c r="I8" s="41" t="s">
        <v>324</v>
      </c>
      <c r="K8" s="59">
        <v>0.4375</v>
      </c>
      <c r="L8" s="41">
        <v>17</v>
      </c>
      <c r="M8" s="76">
        <f t="shared" si="0"/>
        <v>3.2166666666666663</v>
      </c>
      <c r="O8" s="112" t="s">
        <v>325</v>
      </c>
    </row>
    <row r="9" spans="1:17" ht="112.2" hidden="1" x14ac:dyDescent="0.2">
      <c r="A9" s="41">
        <v>1</v>
      </c>
      <c r="B9" s="41">
        <v>715</v>
      </c>
      <c r="C9" s="42">
        <v>42804</v>
      </c>
      <c r="D9" s="41" t="s">
        <v>157</v>
      </c>
      <c r="E9" s="41" t="s">
        <v>532</v>
      </c>
      <c r="F9" s="41" t="s">
        <v>1650</v>
      </c>
      <c r="G9" s="41" t="s">
        <v>1650</v>
      </c>
      <c r="I9" s="41" t="s">
        <v>324</v>
      </c>
      <c r="K9" s="59">
        <v>0.52083333333333337</v>
      </c>
      <c r="L9" s="41">
        <v>18</v>
      </c>
      <c r="M9" s="76">
        <f t="shared" si="0"/>
        <v>3.5166666666666662</v>
      </c>
      <c r="O9" s="112" t="s">
        <v>326</v>
      </c>
      <c r="P9" s="43" t="s">
        <v>327</v>
      </c>
    </row>
    <row r="10" spans="1:17" ht="51" hidden="1" x14ac:dyDescent="0.2">
      <c r="A10" s="41">
        <v>1</v>
      </c>
      <c r="B10" s="41">
        <v>716</v>
      </c>
      <c r="C10" s="42">
        <v>42810</v>
      </c>
      <c r="D10" s="41" t="s">
        <v>157</v>
      </c>
      <c r="E10" s="41" t="s">
        <v>532</v>
      </c>
      <c r="F10" s="41" t="s">
        <v>1650</v>
      </c>
      <c r="G10" s="41" t="s">
        <v>1650</v>
      </c>
      <c r="I10" s="41" t="s">
        <v>328</v>
      </c>
      <c r="K10" s="59">
        <v>0.49305555555555558</v>
      </c>
      <c r="L10" s="41">
        <v>30</v>
      </c>
      <c r="M10" s="76">
        <f t="shared" si="0"/>
        <v>4.0166666666666657</v>
      </c>
      <c r="O10" s="112" t="s">
        <v>329</v>
      </c>
    </row>
    <row r="11" spans="1:17" hidden="1" x14ac:dyDescent="0.2">
      <c r="C11" s="42">
        <v>42812</v>
      </c>
      <c r="D11" s="41" t="s">
        <v>333</v>
      </c>
      <c r="E11" s="41" t="s">
        <v>532</v>
      </c>
      <c r="F11" s="41" t="s">
        <v>334</v>
      </c>
      <c r="L11" s="41">
        <v>0</v>
      </c>
      <c r="M11" s="76">
        <f t="shared" si="0"/>
        <v>4.0166666666666657</v>
      </c>
      <c r="O11" s="112" t="s">
        <v>332</v>
      </c>
    </row>
    <row r="12" spans="1:17" ht="153" hidden="1" x14ac:dyDescent="0.2">
      <c r="A12" s="41">
        <v>1</v>
      </c>
      <c r="B12" s="41">
        <v>717</v>
      </c>
      <c r="C12" s="42">
        <v>42813</v>
      </c>
      <c r="D12" s="41" t="s">
        <v>157</v>
      </c>
      <c r="E12" s="41" t="s">
        <v>532</v>
      </c>
      <c r="F12" s="41" t="s">
        <v>1550</v>
      </c>
      <c r="G12" s="41" t="s">
        <v>335</v>
      </c>
      <c r="I12" s="41" t="s">
        <v>336</v>
      </c>
      <c r="J12" s="41">
        <v>2775</v>
      </c>
      <c r="K12" s="59">
        <v>0.51388888888888895</v>
      </c>
      <c r="L12" s="41">
        <v>165</v>
      </c>
      <c r="M12" s="76">
        <f t="shared" si="0"/>
        <v>6.7666666666666657</v>
      </c>
      <c r="N12" s="41">
        <v>34</v>
      </c>
      <c r="O12" s="112" t="s">
        <v>155</v>
      </c>
    </row>
    <row r="13" spans="1:17" ht="61.2" hidden="1" x14ac:dyDescent="0.2">
      <c r="A13" s="41">
        <v>1</v>
      </c>
      <c r="B13" s="41">
        <v>718</v>
      </c>
      <c r="C13" s="42">
        <v>42820</v>
      </c>
      <c r="D13" s="41" t="s">
        <v>157</v>
      </c>
      <c r="E13" s="41" t="s">
        <v>532</v>
      </c>
      <c r="F13" s="41" t="s">
        <v>1650</v>
      </c>
      <c r="G13" s="41" t="s">
        <v>1650</v>
      </c>
      <c r="I13" s="41" t="s">
        <v>95</v>
      </c>
      <c r="J13" s="41">
        <v>2680</v>
      </c>
      <c r="K13" s="59">
        <v>0.46319444444444446</v>
      </c>
      <c r="L13" s="41">
        <v>92</v>
      </c>
      <c r="M13" s="76">
        <f t="shared" si="0"/>
        <v>8.2999999999999989</v>
      </c>
      <c r="N13" s="41">
        <v>30</v>
      </c>
      <c r="O13" s="112" t="s">
        <v>96</v>
      </c>
    </row>
    <row r="14" spans="1:17" ht="81.599999999999994" hidden="1" x14ac:dyDescent="0.2">
      <c r="A14" s="41">
        <v>1</v>
      </c>
      <c r="B14" s="41">
        <v>719</v>
      </c>
      <c r="C14" s="42">
        <v>42822</v>
      </c>
      <c r="D14" s="41" t="s">
        <v>157</v>
      </c>
      <c r="E14" s="41" t="s">
        <v>532</v>
      </c>
      <c r="F14" s="41" t="s">
        <v>1650</v>
      </c>
      <c r="G14" s="41" t="s">
        <v>1650</v>
      </c>
      <c r="I14" s="41" t="s">
        <v>97</v>
      </c>
      <c r="J14" s="41">
        <v>2520</v>
      </c>
      <c r="K14" s="59">
        <v>0.47569444444444442</v>
      </c>
      <c r="L14" s="41">
        <v>168</v>
      </c>
      <c r="M14" s="76">
        <f t="shared" si="0"/>
        <v>11.099999999999998</v>
      </c>
      <c r="N14" s="41">
        <v>30</v>
      </c>
      <c r="O14" s="112" t="s">
        <v>98</v>
      </c>
    </row>
    <row r="15" spans="1:17" ht="91.8" hidden="1" x14ac:dyDescent="0.2">
      <c r="A15" s="41">
        <v>1</v>
      </c>
      <c r="B15" s="41">
        <v>720</v>
      </c>
      <c r="C15" s="42">
        <v>42823</v>
      </c>
      <c r="D15" s="41" t="s">
        <v>157</v>
      </c>
      <c r="E15" s="41" t="s">
        <v>532</v>
      </c>
      <c r="F15" s="41" t="s">
        <v>1650</v>
      </c>
      <c r="G15" s="41" t="s">
        <v>1650</v>
      </c>
      <c r="I15" s="41" t="s">
        <v>99</v>
      </c>
      <c r="J15" s="41">
        <v>2064</v>
      </c>
      <c r="K15" s="59">
        <v>0.56388888888888888</v>
      </c>
      <c r="L15" s="41">
        <v>126</v>
      </c>
      <c r="M15" s="76">
        <f t="shared" si="0"/>
        <v>13.199999999999998</v>
      </c>
      <c r="N15" s="41">
        <v>20</v>
      </c>
      <c r="O15" s="112" t="s">
        <v>100</v>
      </c>
    </row>
    <row r="16" spans="1:17" ht="81.599999999999994" hidden="1" x14ac:dyDescent="0.2">
      <c r="A16" s="41">
        <v>1</v>
      </c>
      <c r="B16" s="41">
        <v>721</v>
      </c>
      <c r="C16" s="42">
        <v>42828</v>
      </c>
      <c r="D16" s="41" t="s">
        <v>157</v>
      </c>
      <c r="E16" s="41" t="s">
        <v>532</v>
      </c>
      <c r="F16" s="41" t="s">
        <v>1650</v>
      </c>
      <c r="G16" s="41" t="s">
        <v>1650</v>
      </c>
      <c r="I16" s="41" t="s">
        <v>101</v>
      </c>
      <c r="J16" s="41">
        <v>1700</v>
      </c>
      <c r="K16" s="59">
        <v>0.57291666666666663</v>
      </c>
      <c r="L16" s="41">
        <v>66</v>
      </c>
      <c r="M16" s="76">
        <f t="shared" si="0"/>
        <v>14.299999999999997</v>
      </c>
      <c r="O16" s="112" t="s">
        <v>102</v>
      </c>
    </row>
    <row r="17" spans="1:16" hidden="1" x14ac:dyDescent="0.2">
      <c r="A17" s="41">
        <v>1</v>
      </c>
      <c r="B17" s="41">
        <v>722</v>
      </c>
      <c r="C17" s="42">
        <v>42828</v>
      </c>
      <c r="D17" s="41" t="s">
        <v>157</v>
      </c>
      <c r="E17" s="41" t="s">
        <v>532</v>
      </c>
      <c r="F17" s="41" t="s">
        <v>612</v>
      </c>
      <c r="G17" s="41" t="s">
        <v>612</v>
      </c>
      <c r="I17" s="41" t="s">
        <v>101</v>
      </c>
      <c r="K17" s="59">
        <v>0.76388888888888884</v>
      </c>
      <c r="L17" s="41">
        <v>4</v>
      </c>
      <c r="M17" s="76">
        <f t="shared" si="0"/>
        <v>14.366666666666664</v>
      </c>
      <c r="O17" s="112" t="s">
        <v>103</v>
      </c>
    </row>
    <row r="18" spans="1:16" ht="122.4" hidden="1" x14ac:dyDescent="0.2">
      <c r="A18" s="41">
        <v>1</v>
      </c>
      <c r="B18" s="41">
        <v>723</v>
      </c>
      <c r="C18" s="42">
        <v>42834</v>
      </c>
      <c r="D18" s="41" t="s">
        <v>157</v>
      </c>
      <c r="E18" s="41" t="s">
        <v>158</v>
      </c>
      <c r="F18" s="41" t="s">
        <v>127</v>
      </c>
      <c r="G18" s="41" t="s">
        <v>128</v>
      </c>
      <c r="I18" s="41" t="s">
        <v>129</v>
      </c>
      <c r="J18" s="41">
        <v>1900</v>
      </c>
      <c r="K18" s="59">
        <v>0.51041666666666663</v>
      </c>
      <c r="L18" s="41">
        <v>50</v>
      </c>
      <c r="M18" s="76">
        <f t="shared" si="0"/>
        <v>15.199999999999998</v>
      </c>
      <c r="N18" s="41">
        <v>16</v>
      </c>
      <c r="O18" s="112" t="s">
        <v>131</v>
      </c>
    </row>
    <row r="19" spans="1:16" ht="81.599999999999994" hidden="1" x14ac:dyDescent="0.2">
      <c r="A19" s="41">
        <v>1</v>
      </c>
      <c r="B19" s="41">
        <v>724</v>
      </c>
      <c r="C19" s="42">
        <v>42839</v>
      </c>
      <c r="D19" s="41" t="s">
        <v>157</v>
      </c>
      <c r="E19" s="41" t="s">
        <v>158</v>
      </c>
      <c r="F19" s="41" t="s">
        <v>1404</v>
      </c>
      <c r="G19" s="41" t="s">
        <v>1404</v>
      </c>
      <c r="I19" s="41" t="s">
        <v>130</v>
      </c>
      <c r="J19" s="41">
        <v>2000</v>
      </c>
      <c r="K19" s="59">
        <v>0.48958333333333331</v>
      </c>
      <c r="L19" s="41">
        <v>125</v>
      </c>
      <c r="M19" s="76">
        <f t="shared" si="0"/>
        <v>17.283333333333331</v>
      </c>
      <c r="N19" s="41">
        <v>19</v>
      </c>
      <c r="O19" s="112" t="s">
        <v>132</v>
      </c>
    </row>
    <row r="20" spans="1:16" ht="112.2" hidden="1" x14ac:dyDescent="0.2">
      <c r="A20" s="41">
        <v>1</v>
      </c>
      <c r="B20" s="41">
        <v>725</v>
      </c>
      <c r="C20" s="42">
        <v>42844</v>
      </c>
      <c r="D20" s="41" t="s">
        <v>157</v>
      </c>
      <c r="E20" s="41" t="s">
        <v>532</v>
      </c>
      <c r="F20" s="41" t="s">
        <v>1650</v>
      </c>
      <c r="G20" s="41" t="s">
        <v>1650</v>
      </c>
      <c r="I20" s="41" t="s">
        <v>133</v>
      </c>
      <c r="J20" s="41">
        <v>1900</v>
      </c>
      <c r="K20" s="59">
        <v>13</v>
      </c>
      <c r="L20" s="41">
        <v>145</v>
      </c>
      <c r="M20" s="76">
        <f t="shared" si="0"/>
        <v>19.7</v>
      </c>
      <c r="O20" s="112" t="s">
        <v>135</v>
      </c>
      <c r="P20" s="43" t="s">
        <v>134</v>
      </c>
    </row>
    <row r="21" spans="1:16" ht="40.799999999999997" hidden="1" x14ac:dyDescent="0.2">
      <c r="A21" s="41">
        <v>1</v>
      </c>
      <c r="B21" s="41">
        <v>726</v>
      </c>
      <c r="C21" s="42">
        <v>42846</v>
      </c>
      <c r="D21" s="41" t="s">
        <v>157</v>
      </c>
      <c r="E21" s="41" t="s">
        <v>532</v>
      </c>
      <c r="F21" s="41" t="s">
        <v>1650</v>
      </c>
      <c r="G21" s="41" t="s">
        <v>1650</v>
      </c>
      <c r="I21" s="41" t="s">
        <v>661</v>
      </c>
      <c r="J21" s="41">
        <v>1970</v>
      </c>
      <c r="K21" s="59">
        <v>0.52361111111111114</v>
      </c>
      <c r="L21" s="41">
        <v>215</v>
      </c>
      <c r="M21" s="76">
        <f t="shared" si="0"/>
        <v>23.283333333333331</v>
      </c>
      <c r="O21" s="112" t="s">
        <v>142</v>
      </c>
    </row>
    <row r="22" spans="1:16" ht="51" hidden="1" x14ac:dyDescent="0.2">
      <c r="A22" s="41">
        <v>1</v>
      </c>
      <c r="B22" s="41">
        <v>727</v>
      </c>
      <c r="C22" s="42">
        <v>42847</v>
      </c>
      <c r="D22" s="41" t="s">
        <v>140</v>
      </c>
      <c r="E22" s="41" t="s">
        <v>532</v>
      </c>
      <c r="F22" s="41" t="s">
        <v>1650</v>
      </c>
      <c r="G22" s="41" t="s">
        <v>1650</v>
      </c>
      <c r="I22" s="41" t="s">
        <v>661</v>
      </c>
      <c r="J22" s="41">
        <v>2160</v>
      </c>
      <c r="K22" s="59">
        <v>0.52222222222222225</v>
      </c>
      <c r="L22" s="41">
        <v>252</v>
      </c>
      <c r="M22" s="76">
        <f t="shared" si="0"/>
        <v>27.483333333333331</v>
      </c>
      <c r="O22" s="112" t="s">
        <v>55</v>
      </c>
    </row>
    <row r="23" spans="1:16" ht="40.799999999999997" hidden="1" x14ac:dyDescent="0.2">
      <c r="A23" s="41">
        <v>1</v>
      </c>
      <c r="B23" s="41">
        <v>728</v>
      </c>
      <c r="C23" s="42">
        <v>42848</v>
      </c>
      <c r="D23" s="41" t="s">
        <v>141</v>
      </c>
      <c r="E23" s="41" t="s">
        <v>532</v>
      </c>
      <c r="F23" s="41" t="s">
        <v>1650</v>
      </c>
      <c r="G23" s="41" t="s">
        <v>1650</v>
      </c>
      <c r="I23" s="41" t="s">
        <v>661</v>
      </c>
      <c r="J23" s="41">
        <v>2380</v>
      </c>
      <c r="K23" s="59">
        <v>0.51111111111111118</v>
      </c>
      <c r="L23" s="41">
        <v>265</v>
      </c>
      <c r="M23" s="76">
        <f t="shared" si="0"/>
        <v>31.9</v>
      </c>
      <c r="O23" s="112" t="s">
        <v>144</v>
      </c>
      <c r="P23" s="43" t="s">
        <v>143</v>
      </c>
    </row>
    <row r="24" spans="1:16" ht="20.399999999999999" hidden="1" x14ac:dyDescent="0.2">
      <c r="A24" s="41">
        <v>1</v>
      </c>
      <c r="B24" s="41">
        <v>729</v>
      </c>
      <c r="C24" s="42">
        <v>42863</v>
      </c>
      <c r="D24" s="41" t="s">
        <v>149</v>
      </c>
      <c r="E24" s="41" t="s">
        <v>532</v>
      </c>
      <c r="F24" s="41" t="s">
        <v>1550</v>
      </c>
      <c r="G24" s="41" t="s">
        <v>1550</v>
      </c>
      <c r="L24" s="41">
        <v>10</v>
      </c>
      <c r="M24" s="76">
        <f t="shared" si="0"/>
        <v>32.066666666666663</v>
      </c>
      <c r="O24" s="112" t="s">
        <v>151</v>
      </c>
    </row>
    <row r="25" spans="1:16" ht="40.799999999999997" hidden="1" x14ac:dyDescent="0.2">
      <c r="A25" s="41">
        <v>1</v>
      </c>
      <c r="B25" s="41">
        <v>730</v>
      </c>
      <c r="C25" s="42">
        <v>42863</v>
      </c>
      <c r="D25" s="41" t="s">
        <v>149</v>
      </c>
      <c r="E25" s="41" t="s">
        <v>532</v>
      </c>
      <c r="F25" s="41" t="s">
        <v>1550</v>
      </c>
      <c r="G25" s="41" t="s">
        <v>1550</v>
      </c>
      <c r="L25" s="41">
        <v>20</v>
      </c>
      <c r="M25" s="76">
        <f t="shared" si="0"/>
        <v>32.4</v>
      </c>
      <c r="O25" s="112" t="s">
        <v>152</v>
      </c>
    </row>
    <row r="26" spans="1:16" hidden="1" x14ac:dyDescent="0.2">
      <c r="A26" s="41">
        <v>1</v>
      </c>
      <c r="B26" s="41">
        <v>731</v>
      </c>
      <c r="C26" s="42">
        <v>42864</v>
      </c>
      <c r="D26" s="41" t="s">
        <v>150</v>
      </c>
      <c r="E26" s="41" t="s">
        <v>532</v>
      </c>
      <c r="F26" s="41" t="s">
        <v>1650</v>
      </c>
      <c r="G26" s="41" t="s">
        <v>1650</v>
      </c>
      <c r="J26" s="41">
        <v>1600</v>
      </c>
      <c r="K26" s="59">
        <v>12</v>
      </c>
      <c r="L26" s="41">
        <v>100</v>
      </c>
      <c r="M26" s="76">
        <f t="shared" si="0"/>
        <v>34.066666666666663</v>
      </c>
      <c r="O26" s="112" t="s">
        <v>153</v>
      </c>
    </row>
    <row r="27" spans="1:16" ht="51" hidden="1" x14ac:dyDescent="0.2">
      <c r="A27" s="41">
        <v>1</v>
      </c>
      <c r="B27" s="41">
        <v>732</v>
      </c>
      <c r="C27" s="42">
        <v>42869</v>
      </c>
      <c r="D27" s="41" t="s">
        <v>157</v>
      </c>
      <c r="E27" s="41" t="s">
        <v>532</v>
      </c>
      <c r="F27" s="41" t="s">
        <v>1650</v>
      </c>
      <c r="G27" s="41" t="s">
        <v>59</v>
      </c>
      <c r="I27" s="41" t="s">
        <v>60</v>
      </c>
      <c r="J27" s="41">
        <v>2000</v>
      </c>
      <c r="K27" s="59">
        <v>0.47916666666666669</v>
      </c>
      <c r="L27" s="41">
        <v>240</v>
      </c>
      <c r="M27" s="76">
        <f t="shared" si="0"/>
        <v>38.066666666666663</v>
      </c>
      <c r="O27" s="112" t="s">
        <v>62</v>
      </c>
    </row>
    <row r="28" spans="1:16" ht="61.2" hidden="1" x14ac:dyDescent="0.2">
      <c r="A28" s="41">
        <v>1</v>
      </c>
      <c r="B28" s="41">
        <v>733</v>
      </c>
      <c r="C28" s="42">
        <v>42870</v>
      </c>
      <c r="D28" s="41" t="s">
        <v>157</v>
      </c>
      <c r="E28" s="41" t="s">
        <v>532</v>
      </c>
      <c r="F28" s="41" t="s">
        <v>1650</v>
      </c>
      <c r="G28" s="41" t="s">
        <v>1650</v>
      </c>
      <c r="I28" s="41" t="s">
        <v>61</v>
      </c>
      <c r="J28" s="41">
        <v>2200</v>
      </c>
      <c r="K28" s="59">
        <v>0.4861111111111111</v>
      </c>
      <c r="L28" s="41">
        <v>150</v>
      </c>
      <c r="M28" s="76">
        <f t="shared" si="0"/>
        <v>40.566666666666663</v>
      </c>
      <c r="O28" s="112" t="s">
        <v>63</v>
      </c>
      <c r="P28" s="43" t="s">
        <v>64</v>
      </c>
    </row>
    <row r="29" spans="1:16" ht="71.400000000000006" hidden="1" x14ac:dyDescent="0.2">
      <c r="A29" s="41">
        <v>1</v>
      </c>
      <c r="B29" s="41">
        <v>734</v>
      </c>
      <c r="C29" s="42">
        <v>42876</v>
      </c>
      <c r="D29" s="41" t="s">
        <v>157</v>
      </c>
      <c r="E29" s="41" t="s">
        <v>68</v>
      </c>
      <c r="F29" s="41" t="s">
        <v>69</v>
      </c>
      <c r="G29" s="41" t="s">
        <v>71</v>
      </c>
      <c r="I29" s="41" t="s">
        <v>74</v>
      </c>
      <c r="J29" s="41">
        <v>2130</v>
      </c>
      <c r="K29" s="59">
        <v>0.4826388888888889</v>
      </c>
      <c r="L29" s="41">
        <v>90</v>
      </c>
      <c r="M29" s="76">
        <f t="shared" si="0"/>
        <v>42.066666666666663</v>
      </c>
      <c r="O29" s="112" t="s">
        <v>76</v>
      </c>
    </row>
    <row r="30" spans="1:16" ht="81.599999999999994" hidden="1" x14ac:dyDescent="0.2">
      <c r="A30" s="41">
        <v>1</v>
      </c>
      <c r="B30" s="41">
        <v>735</v>
      </c>
      <c r="C30" s="42">
        <v>42879</v>
      </c>
      <c r="D30" s="41" t="s">
        <v>157</v>
      </c>
      <c r="E30" s="41" t="s">
        <v>68</v>
      </c>
      <c r="F30" s="41" t="s">
        <v>69</v>
      </c>
      <c r="G30" s="41" t="s">
        <v>72</v>
      </c>
      <c r="I30" s="41" t="s">
        <v>75</v>
      </c>
      <c r="J30" s="41">
        <v>1960</v>
      </c>
      <c r="K30" s="59">
        <v>0.49722222222222223</v>
      </c>
      <c r="L30" s="41">
        <v>64</v>
      </c>
      <c r="M30" s="76">
        <f t="shared" si="0"/>
        <v>43.133333333333333</v>
      </c>
      <c r="O30" s="112" t="s">
        <v>77</v>
      </c>
    </row>
    <row r="31" spans="1:16" ht="71.400000000000006" hidden="1" x14ac:dyDescent="0.2">
      <c r="A31" s="41">
        <v>1</v>
      </c>
      <c r="B31" s="41">
        <v>736</v>
      </c>
      <c r="C31" s="42">
        <v>42880</v>
      </c>
      <c r="D31" s="41" t="s">
        <v>157</v>
      </c>
      <c r="E31" s="41" t="s">
        <v>68</v>
      </c>
      <c r="F31" s="41" t="s">
        <v>70</v>
      </c>
      <c r="G31" s="41" t="s">
        <v>73</v>
      </c>
      <c r="J31" s="41">
        <v>1750</v>
      </c>
      <c r="K31" s="59">
        <v>0.43263888888888885</v>
      </c>
      <c r="L31" s="41">
        <v>75</v>
      </c>
      <c r="M31" s="76">
        <f t="shared" si="0"/>
        <v>44.383333333333333</v>
      </c>
      <c r="O31" s="112" t="s">
        <v>78</v>
      </c>
    </row>
    <row r="32" spans="1:16" ht="40.799999999999997" hidden="1" x14ac:dyDescent="0.2">
      <c r="A32" s="41">
        <v>1</v>
      </c>
      <c r="B32" s="41">
        <v>737</v>
      </c>
      <c r="C32" s="42">
        <v>42887</v>
      </c>
      <c r="D32" s="41" t="s">
        <v>157</v>
      </c>
      <c r="E32" s="41" t="s">
        <v>532</v>
      </c>
      <c r="F32" s="41" t="s">
        <v>1650</v>
      </c>
      <c r="G32" s="41" t="s">
        <v>1650</v>
      </c>
      <c r="I32" s="41" t="s">
        <v>90</v>
      </c>
      <c r="J32" s="41">
        <v>1750</v>
      </c>
      <c r="K32" s="59">
        <v>0.52083333333333337</v>
      </c>
      <c r="L32" s="41">
        <v>160</v>
      </c>
      <c r="M32" s="76">
        <f t="shared" si="0"/>
        <v>47.05</v>
      </c>
      <c r="N32" s="41">
        <v>20</v>
      </c>
      <c r="O32" s="112" t="s">
        <v>91</v>
      </c>
    </row>
    <row r="33" spans="1:15" ht="91.8" hidden="1" x14ac:dyDescent="0.2">
      <c r="A33" s="41">
        <v>1</v>
      </c>
      <c r="B33" s="41">
        <v>738</v>
      </c>
      <c r="C33" s="42">
        <v>42888</v>
      </c>
      <c r="D33" s="41" t="s">
        <v>92</v>
      </c>
      <c r="E33" s="41" t="s">
        <v>532</v>
      </c>
      <c r="F33" s="41" t="s">
        <v>1650</v>
      </c>
      <c r="G33" s="41" t="s">
        <v>1650</v>
      </c>
      <c r="I33" s="41" t="s">
        <v>90</v>
      </c>
      <c r="J33" s="41">
        <v>1700</v>
      </c>
      <c r="K33" s="59">
        <v>0.52430555555555558</v>
      </c>
      <c r="L33" s="41">
        <v>110</v>
      </c>
      <c r="M33" s="76">
        <f t="shared" si="0"/>
        <v>48.883333333333333</v>
      </c>
      <c r="N33" s="41">
        <v>22</v>
      </c>
      <c r="O33" s="112" t="s">
        <v>93</v>
      </c>
    </row>
    <row r="34" spans="1:15" ht="71.400000000000006" hidden="1" x14ac:dyDescent="0.2">
      <c r="A34" s="41">
        <v>1</v>
      </c>
      <c r="B34" s="41">
        <v>739</v>
      </c>
      <c r="C34" s="42">
        <v>42893</v>
      </c>
      <c r="D34" s="41" t="s">
        <v>157</v>
      </c>
      <c r="E34" s="41" t="s">
        <v>532</v>
      </c>
      <c r="F34" s="41" t="s">
        <v>1650</v>
      </c>
      <c r="G34" s="41" t="s">
        <v>1650</v>
      </c>
      <c r="I34" s="41" t="s">
        <v>0</v>
      </c>
      <c r="J34" s="41">
        <v>1650</v>
      </c>
      <c r="K34" s="59">
        <v>0.56597222222222221</v>
      </c>
      <c r="L34" s="41">
        <v>216</v>
      </c>
      <c r="M34" s="76">
        <f t="shared" si="0"/>
        <v>52.483333333333334</v>
      </c>
      <c r="N34" s="41">
        <v>24</v>
      </c>
      <c r="O34" s="112" t="s">
        <v>1</v>
      </c>
    </row>
    <row r="35" spans="1:15" hidden="1" x14ac:dyDescent="0.2">
      <c r="A35" s="41">
        <v>1</v>
      </c>
      <c r="B35" s="41">
        <v>740</v>
      </c>
      <c r="C35" s="42">
        <v>42896</v>
      </c>
      <c r="D35" s="41" t="s">
        <v>4</v>
      </c>
      <c r="E35" s="41" t="s">
        <v>532</v>
      </c>
      <c r="F35" s="41" t="s">
        <v>1650</v>
      </c>
      <c r="G35" s="41" t="s">
        <v>1650</v>
      </c>
      <c r="I35" s="41" t="s">
        <v>5</v>
      </c>
      <c r="L35" s="41">
        <v>10</v>
      </c>
      <c r="M35" s="76">
        <f>(M34+L35/60)</f>
        <v>52.65</v>
      </c>
      <c r="O35" s="112" t="s">
        <v>7</v>
      </c>
    </row>
    <row r="36" spans="1:15" hidden="1" x14ac:dyDescent="0.2">
      <c r="A36" s="41">
        <v>1</v>
      </c>
      <c r="B36" s="41">
        <v>741</v>
      </c>
      <c r="C36" s="42">
        <v>42896</v>
      </c>
      <c r="D36" s="41" t="s">
        <v>4</v>
      </c>
      <c r="E36" s="41" t="s">
        <v>532</v>
      </c>
      <c r="F36" s="41" t="s">
        <v>1650</v>
      </c>
      <c r="G36" s="41" t="s">
        <v>1650</v>
      </c>
      <c r="I36" s="41" t="s">
        <v>5</v>
      </c>
      <c r="L36" s="41">
        <v>10</v>
      </c>
      <c r="M36" s="76">
        <f t="shared" si="0"/>
        <v>52.816666666666663</v>
      </c>
      <c r="O36" s="112" t="s">
        <v>7</v>
      </c>
    </row>
    <row r="37" spans="1:15" hidden="1" x14ac:dyDescent="0.2">
      <c r="A37" s="41">
        <v>1</v>
      </c>
      <c r="B37" s="41">
        <v>742</v>
      </c>
      <c r="C37" s="42">
        <v>42896</v>
      </c>
      <c r="D37" s="41" t="s">
        <v>4</v>
      </c>
      <c r="E37" s="41" t="s">
        <v>532</v>
      </c>
      <c r="F37" s="41" t="s">
        <v>1650</v>
      </c>
      <c r="G37" s="41" t="s">
        <v>1650</v>
      </c>
      <c r="I37" s="41" t="s">
        <v>5</v>
      </c>
      <c r="L37" s="41">
        <v>10</v>
      </c>
      <c r="M37" s="76">
        <f t="shared" si="0"/>
        <v>52.983333333333327</v>
      </c>
      <c r="O37" s="112" t="s">
        <v>7</v>
      </c>
    </row>
    <row r="38" spans="1:15" hidden="1" x14ac:dyDescent="0.2">
      <c r="A38" s="41">
        <v>1</v>
      </c>
      <c r="B38" s="41">
        <v>743</v>
      </c>
      <c r="C38" s="42">
        <v>42897</v>
      </c>
      <c r="D38" s="41" t="s">
        <v>6</v>
      </c>
      <c r="E38" s="41" t="s">
        <v>532</v>
      </c>
      <c r="F38" s="41" t="s">
        <v>1650</v>
      </c>
      <c r="G38" s="41" t="s">
        <v>1650</v>
      </c>
      <c r="I38" s="41" t="s">
        <v>5</v>
      </c>
      <c r="L38" s="41">
        <v>10</v>
      </c>
      <c r="M38" s="76">
        <f t="shared" si="0"/>
        <v>53.149999999999991</v>
      </c>
      <c r="O38" s="112" t="s">
        <v>7</v>
      </c>
    </row>
    <row r="39" spans="1:15" hidden="1" x14ac:dyDescent="0.2">
      <c r="A39" s="41">
        <v>1</v>
      </c>
      <c r="B39" s="41">
        <v>744</v>
      </c>
      <c r="C39" s="42">
        <v>42897</v>
      </c>
      <c r="D39" s="41" t="s">
        <v>4</v>
      </c>
      <c r="E39" s="41" t="s">
        <v>532</v>
      </c>
      <c r="F39" s="41" t="s">
        <v>1650</v>
      </c>
      <c r="G39" s="41" t="s">
        <v>1650</v>
      </c>
      <c r="I39" s="41" t="s">
        <v>5</v>
      </c>
      <c r="L39" s="41">
        <v>20</v>
      </c>
      <c r="M39" s="76">
        <f t="shared" si="0"/>
        <v>53.483333333333327</v>
      </c>
      <c r="O39" s="112" t="s">
        <v>7</v>
      </c>
    </row>
    <row r="40" spans="1:15" ht="40.799999999999997" hidden="1" x14ac:dyDescent="0.2">
      <c r="A40" s="41">
        <v>1</v>
      </c>
      <c r="B40" s="41">
        <v>745</v>
      </c>
      <c r="C40" s="42">
        <v>42899</v>
      </c>
      <c r="D40" s="41" t="s">
        <v>8</v>
      </c>
      <c r="E40" s="41" t="s">
        <v>532</v>
      </c>
      <c r="F40" s="41" t="s">
        <v>1650</v>
      </c>
      <c r="G40" s="41" t="s">
        <v>1650</v>
      </c>
      <c r="I40" s="41" t="s">
        <v>5</v>
      </c>
      <c r="J40" s="41">
        <v>1150</v>
      </c>
      <c r="K40" s="59">
        <v>0.54166666666666663</v>
      </c>
      <c r="L40" s="41">
        <v>85</v>
      </c>
      <c r="M40" s="76">
        <f t="shared" si="0"/>
        <v>54.899999999999991</v>
      </c>
      <c r="O40" s="112" t="s">
        <v>9</v>
      </c>
    </row>
    <row r="41" spans="1:15" hidden="1" x14ac:dyDescent="0.2">
      <c r="A41" s="41">
        <v>1</v>
      </c>
      <c r="B41" s="41">
        <v>746</v>
      </c>
      <c r="C41" s="42">
        <v>42903</v>
      </c>
      <c r="D41" s="41" t="s">
        <v>4</v>
      </c>
      <c r="E41" s="41" t="s">
        <v>532</v>
      </c>
      <c r="F41" s="41" t="s">
        <v>1650</v>
      </c>
      <c r="G41" s="41" t="s">
        <v>1650</v>
      </c>
      <c r="I41" s="41" t="s">
        <v>5</v>
      </c>
      <c r="L41" s="41">
        <v>10</v>
      </c>
      <c r="M41" s="76">
        <f t="shared" si="0"/>
        <v>55.066666666666656</v>
      </c>
      <c r="O41" s="112" t="s">
        <v>14</v>
      </c>
    </row>
    <row r="42" spans="1:15" hidden="1" x14ac:dyDescent="0.2">
      <c r="A42" s="41">
        <v>1</v>
      </c>
      <c r="B42" s="41">
        <v>747</v>
      </c>
      <c r="C42" s="42">
        <v>42903</v>
      </c>
      <c r="D42" s="41" t="s">
        <v>4</v>
      </c>
      <c r="E42" s="41" t="s">
        <v>532</v>
      </c>
      <c r="F42" s="41" t="s">
        <v>1650</v>
      </c>
      <c r="G42" s="41" t="s">
        <v>1650</v>
      </c>
      <c r="I42" s="41" t="s">
        <v>5</v>
      </c>
      <c r="L42" s="41">
        <v>10</v>
      </c>
      <c r="M42" s="76">
        <f t="shared" si="0"/>
        <v>55.23333333333332</v>
      </c>
      <c r="O42" s="112" t="s">
        <v>15</v>
      </c>
    </row>
    <row r="43" spans="1:15" hidden="1" x14ac:dyDescent="0.2">
      <c r="A43" s="41">
        <v>1</v>
      </c>
      <c r="B43" s="41">
        <v>748</v>
      </c>
      <c r="C43" s="42">
        <v>42903</v>
      </c>
      <c r="D43" s="41" t="s">
        <v>4</v>
      </c>
      <c r="E43" s="41" t="s">
        <v>532</v>
      </c>
      <c r="F43" s="41" t="s">
        <v>1650</v>
      </c>
      <c r="G43" s="41" t="s">
        <v>1650</v>
      </c>
      <c r="I43" s="41" t="s">
        <v>5</v>
      </c>
      <c r="L43" s="41">
        <v>10</v>
      </c>
      <c r="M43" s="76">
        <f t="shared" si="0"/>
        <v>55.399999999999984</v>
      </c>
      <c r="O43" s="112" t="s">
        <v>16</v>
      </c>
    </row>
    <row r="44" spans="1:15" hidden="1" x14ac:dyDescent="0.2">
      <c r="A44" s="41">
        <v>1</v>
      </c>
      <c r="B44" s="41">
        <v>749</v>
      </c>
      <c r="C44" s="42">
        <v>42904</v>
      </c>
      <c r="D44" s="41" t="s">
        <v>4</v>
      </c>
      <c r="E44" s="41" t="s">
        <v>532</v>
      </c>
      <c r="F44" s="41" t="s">
        <v>1650</v>
      </c>
      <c r="G44" s="41" t="s">
        <v>1650</v>
      </c>
      <c r="I44" s="41" t="s">
        <v>5</v>
      </c>
      <c r="L44" s="41">
        <v>10</v>
      </c>
      <c r="M44" s="76">
        <f t="shared" si="0"/>
        <v>55.566666666666649</v>
      </c>
      <c r="O44" s="112" t="s">
        <v>17</v>
      </c>
    </row>
    <row r="45" spans="1:15" hidden="1" x14ac:dyDescent="0.2">
      <c r="A45" s="41">
        <v>1</v>
      </c>
      <c r="B45" s="41">
        <v>750</v>
      </c>
      <c r="C45" s="42">
        <v>42904</v>
      </c>
      <c r="D45" s="41" t="s">
        <v>4</v>
      </c>
      <c r="E45" s="41" t="s">
        <v>532</v>
      </c>
      <c r="F45" s="41" t="s">
        <v>1650</v>
      </c>
      <c r="G45" s="41" t="s">
        <v>1650</v>
      </c>
      <c r="I45" s="41" t="s">
        <v>5</v>
      </c>
      <c r="L45" s="41">
        <v>10</v>
      </c>
      <c r="M45" s="76">
        <f t="shared" si="0"/>
        <v>55.733333333333313</v>
      </c>
      <c r="O45" s="112" t="s">
        <v>14</v>
      </c>
    </row>
    <row r="46" spans="1:15" ht="61.2" hidden="1" x14ac:dyDescent="0.2">
      <c r="A46" s="41">
        <v>1</v>
      </c>
      <c r="B46" s="41">
        <v>751</v>
      </c>
      <c r="C46" s="42">
        <v>42904</v>
      </c>
      <c r="D46" s="41" t="s">
        <v>4</v>
      </c>
      <c r="E46" s="41" t="s">
        <v>532</v>
      </c>
      <c r="F46" s="41" t="s">
        <v>1650</v>
      </c>
      <c r="G46" s="41" t="s">
        <v>1650</v>
      </c>
      <c r="I46" s="41" t="s">
        <v>5</v>
      </c>
      <c r="L46" s="41">
        <v>15</v>
      </c>
      <c r="M46" s="76">
        <f t="shared" si="0"/>
        <v>55.983333333333313</v>
      </c>
      <c r="O46" s="112" t="s">
        <v>18</v>
      </c>
    </row>
    <row r="47" spans="1:15" ht="142.80000000000001" hidden="1" x14ac:dyDescent="0.2">
      <c r="A47" s="41">
        <v>1</v>
      </c>
      <c r="B47" s="41">
        <v>752</v>
      </c>
      <c r="C47" s="42">
        <v>42909</v>
      </c>
      <c r="D47" s="41" t="s">
        <v>20</v>
      </c>
      <c r="E47" s="41" t="s">
        <v>532</v>
      </c>
      <c r="F47" s="41" t="s">
        <v>1650</v>
      </c>
      <c r="G47" s="41" t="s">
        <v>1650</v>
      </c>
      <c r="I47" s="41" t="s">
        <v>5</v>
      </c>
      <c r="J47" s="41">
        <v>2500</v>
      </c>
      <c r="K47" s="59">
        <v>0.49305555555555558</v>
      </c>
      <c r="L47" s="41">
        <v>210</v>
      </c>
      <c r="M47" s="76">
        <f t="shared" si="0"/>
        <v>59.483333333333313</v>
      </c>
      <c r="N47" s="41">
        <v>40</v>
      </c>
      <c r="O47" s="112" t="s">
        <v>21</v>
      </c>
    </row>
    <row r="48" spans="1:15" x14ac:dyDescent="0.2">
      <c r="A48" s="41">
        <v>1</v>
      </c>
      <c r="B48" s="41">
        <v>753</v>
      </c>
      <c r="C48" s="42">
        <v>42921</v>
      </c>
      <c r="D48" s="41" t="s">
        <v>23</v>
      </c>
      <c r="E48" s="41" t="s">
        <v>532</v>
      </c>
      <c r="F48" s="41" t="s">
        <v>1650</v>
      </c>
      <c r="G48" s="41" t="s">
        <v>1650</v>
      </c>
      <c r="I48" s="41" t="s">
        <v>5</v>
      </c>
      <c r="J48" s="41" t="s">
        <v>24</v>
      </c>
      <c r="K48" s="59">
        <v>0.45833333333333331</v>
      </c>
      <c r="L48" s="41">
        <v>10</v>
      </c>
      <c r="M48" s="76">
        <f t="shared" si="0"/>
        <v>59.649999999999977</v>
      </c>
      <c r="O48" s="112" t="s">
        <v>25</v>
      </c>
    </row>
    <row r="49" spans="1:15" x14ac:dyDescent="0.2">
      <c r="A49" s="41">
        <v>1</v>
      </c>
      <c r="B49" s="41">
        <v>754</v>
      </c>
      <c r="C49" s="42">
        <v>42921</v>
      </c>
      <c r="D49" s="41" t="s">
        <v>23</v>
      </c>
      <c r="E49" s="41" t="s">
        <v>532</v>
      </c>
      <c r="F49" s="41" t="s">
        <v>1650</v>
      </c>
      <c r="G49" s="41" t="s">
        <v>1650</v>
      </c>
      <c r="I49" s="41" t="s">
        <v>5</v>
      </c>
      <c r="J49" s="41" t="s">
        <v>24</v>
      </c>
      <c r="K49" s="59">
        <v>0.5</v>
      </c>
      <c r="L49" s="41">
        <v>30</v>
      </c>
      <c r="M49" s="76">
        <f t="shared" si="0"/>
        <v>60.149999999999977</v>
      </c>
      <c r="O49" s="112" t="s">
        <v>26</v>
      </c>
    </row>
    <row r="50" spans="1:15" x14ac:dyDescent="0.2">
      <c r="A50" s="41">
        <v>1</v>
      </c>
      <c r="B50" s="41">
        <v>755</v>
      </c>
      <c r="C50" s="42">
        <v>42930</v>
      </c>
      <c r="D50" s="41" t="s">
        <v>23</v>
      </c>
      <c r="E50" s="41" t="s">
        <v>532</v>
      </c>
      <c r="F50" s="41" t="s">
        <v>1650</v>
      </c>
      <c r="G50" s="41" t="s">
        <v>1650</v>
      </c>
      <c r="K50" s="59">
        <v>0.70833333333333337</v>
      </c>
      <c r="L50" s="41">
        <v>10</v>
      </c>
      <c r="M50" s="76">
        <f t="shared" si="0"/>
        <v>60.316666666666642</v>
      </c>
      <c r="O50" s="112" t="s">
        <v>1792</v>
      </c>
    </row>
    <row r="51" spans="1:15" x14ac:dyDescent="0.2">
      <c r="A51" s="41">
        <v>1</v>
      </c>
      <c r="B51" s="41">
        <v>756</v>
      </c>
      <c r="C51" s="42">
        <v>42931</v>
      </c>
      <c r="D51" s="41" t="s">
        <v>23</v>
      </c>
      <c r="E51" s="41" t="s">
        <v>532</v>
      </c>
      <c r="F51" s="41" t="s">
        <v>1650</v>
      </c>
      <c r="G51" s="41" t="s">
        <v>1650</v>
      </c>
      <c r="K51" s="59">
        <v>0.41666666666666669</v>
      </c>
      <c r="L51" s="41">
        <v>60</v>
      </c>
      <c r="M51" s="76">
        <f t="shared" si="0"/>
        <v>61.316666666666642</v>
      </c>
      <c r="O51" s="112" t="s">
        <v>1793</v>
      </c>
    </row>
    <row r="52" spans="1:15" x14ac:dyDescent="0.2">
      <c r="A52" s="41">
        <v>1</v>
      </c>
      <c r="B52" s="41">
        <v>757</v>
      </c>
      <c r="C52" s="42">
        <v>42931</v>
      </c>
      <c r="D52" s="41" t="s">
        <v>23</v>
      </c>
      <c r="E52" s="41" t="s">
        <v>532</v>
      </c>
      <c r="F52" s="41" t="s">
        <v>1650</v>
      </c>
      <c r="G52" s="41" t="s">
        <v>1650</v>
      </c>
      <c r="K52" s="59">
        <v>0.5</v>
      </c>
      <c r="L52" s="41">
        <v>110</v>
      </c>
      <c r="M52" s="76">
        <f t="shared" si="0"/>
        <v>63.149999999999977</v>
      </c>
      <c r="O52" s="112" t="s">
        <v>1794</v>
      </c>
    </row>
    <row r="53" spans="1:15" hidden="1" x14ac:dyDescent="0.2">
      <c r="A53" s="41">
        <v>1</v>
      </c>
      <c r="B53" s="41">
        <v>758</v>
      </c>
      <c r="C53" s="42">
        <v>42931</v>
      </c>
      <c r="D53" s="41" t="s">
        <v>1791</v>
      </c>
      <c r="E53" s="41" t="s">
        <v>532</v>
      </c>
      <c r="F53" s="41" t="s">
        <v>1650</v>
      </c>
      <c r="G53" s="41" t="s">
        <v>1650</v>
      </c>
      <c r="K53" s="59">
        <v>0.70833333333333337</v>
      </c>
      <c r="L53" s="41">
        <v>20</v>
      </c>
      <c r="M53" s="76">
        <f t="shared" si="0"/>
        <v>63.483333333333313</v>
      </c>
      <c r="O53" s="112" t="s">
        <v>1795</v>
      </c>
    </row>
    <row r="54" spans="1:15" ht="30.6" x14ac:dyDescent="0.2">
      <c r="A54" s="41">
        <v>1</v>
      </c>
      <c r="B54" s="41">
        <v>759</v>
      </c>
      <c r="C54" s="42">
        <v>42932</v>
      </c>
      <c r="D54" s="41" t="s">
        <v>23</v>
      </c>
      <c r="E54" s="41" t="s">
        <v>532</v>
      </c>
      <c r="F54" s="41" t="s">
        <v>1650</v>
      </c>
      <c r="G54" s="41" t="s">
        <v>1650</v>
      </c>
      <c r="J54" s="41">
        <v>1480</v>
      </c>
      <c r="K54" s="59">
        <v>0.48888888888888887</v>
      </c>
      <c r="L54" s="41">
        <v>210</v>
      </c>
      <c r="M54" s="76">
        <f t="shared" si="0"/>
        <v>66.98333333333332</v>
      </c>
      <c r="O54" s="112" t="s">
        <v>1796</v>
      </c>
    </row>
    <row r="55" spans="1:15" ht="30.6" hidden="1" x14ac:dyDescent="0.2">
      <c r="A55" s="41">
        <v>1</v>
      </c>
      <c r="B55" s="41">
        <v>760</v>
      </c>
      <c r="C55" s="42">
        <v>42933</v>
      </c>
      <c r="D55" s="41" t="s">
        <v>141</v>
      </c>
      <c r="E55" s="41" t="s">
        <v>532</v>
      </c>
      <c r="F55" s="41" t="s">
        <v>1650</v>
      </c>
      <c r="G55" s="41" t="s">
        <v>1650</v>
      </c>
      <c r="K55" s="59">
        <v>0.53263888888888888</v>
      </c>
      <c r="L55" s="41">
        <v>40</v>
      </c>
      <c r="M55" s="76">
        <f t="shared" si="0"/>
        <v>67.649999999999991</v>
      </c>
      <c r="O55" s="112" t="s">
        <v>27</v>
      </c>
    </row>
    <row r="56" spans="1:15" hidden="1" x14ac:dyDescent="0.2">
      <c r="A56" s="41">
        <v>1</v>
      </c>
      <c r="B56" s="41">
        <v>761</v>
      </c>
      <c r="C56" s="42">
        <v>42934</v>
      </c>
      <c r="D56" s="41" t="s">
        <v>141</v>
      </c>
      <c r="E56" s="41" t="s">
        <v>532</v>
      </c>
      <c r="F56" s="41" t="s">
        <v>1650</v>
      </c>
      <c r="G56" s="41" t="s">
        <v>1650</v>
      </c>
      <c r="K56" s="59">
        <v>0.46388888888888885</v>
      </c>
      <c r="L56" s="41">
        <v>10</v>
      </c>
      <c r="M56" s="76">
        <f t="shared" si="0"/>
        <v>67.816666666666663</v>
      </c>
      <c r="O56" s="112" t="s">
        <v>28</v>
      </c>
    </row>
    <row r="57" spans="1:15" hidden="1" x14ac:dyDescent="0.2">
      <c r="A57" s="41">
        <v>1</v>
      </c>
      <c r="B57" s="41">
        <v>762</v>
      </c>
      <c r="C57" s="42">
        <v>42938</v>
      </c>
      <c r="D57" s="41" t="s">
        <v>1797</v>
      </c>
      <c r="E57" s="41" t="s">
        <v>532</v>
      </c>
      <c r="F57" s="41" t="s">
        <v>406</v>
      </c>
      <c r="G57" s="41" t="s">
        <v>406</v>
      </c>
      <c r="L57" s="41">
        <v>1</v>
      </c>
      <c r="M57" s="76">
        <f t="shared" si="0"/>
        <v>67.833333333333329</v>
      </c>
    </row>
    <row r="58" spans="1:15" hidden="1" x14ac:dyDescent="0.2">
      <c r="A58" s="41">
        <v>1</v>
      </c>
      <c r="B58" s="41">
        <v>763</v>
      </c>
      <c r="C58" s="42">
        <v>42949</v>
      </c>
      <c r="D58" s="41" t="s">
        <v>1797</v>
      </c>
      <c r="E58" s="41" t="s">
        <v>532</v>
      </c>
      <c r="F58" s="41" t="s">
        <v>1650</v>
      </c>
      <c r="G58" s="41" t="s">
        <v>1650</v>
      </c>
      <c r="K58" s="59">
        <v>0.52083333333333337</v>
      </c>
      <c r="L58" s="41">
        <v>22</v>
      </c>
      <c r="M58" s="76">
        <f t="shared" si="0"/>
        <v>68.199999999999989</v>
      </c>
    </row>
    <row r="59" spans="1:15" hidden="1" x14ac:dyDescent="0.2">
      <c r="A59" s="41">
        <v>1</v>
      </c>
      <c r="B59" s="41">
        <v>764</v>
      </c>
      <c r="C59" s="42">
        <v>42966</v>
      </c>
      <c r="D59" s="41" t="s">
        <v>1797</v>
      </c>
      <c r="E59" s="41" t="s">
        <v>532</v>
      </c>
      <c r="F59" s="41" t="s">
        <v>1650</v>
      </c>
      <c r="G59" s="41" t="s">
        <v>1650</v>
      </c>
      <c r="I59" s="41" t="s">
        <v>239</v>
      </c>
      <c r="K59" s="59">
        <v>0.5</v>
      </c>
      <c r="L59" s="41">
        <v>150</v>
      </c>
      <c r="M59" s="76">
        <f t="shared" si="0"/>
        <v>70.699999999999989</v>
      </c>
      <c r="O59" s="112" t="s">
        <v>29</v>
      </c>
    </row>
    <row r="60" spans="1:15" hidden="1" x14ac:dyDescent="0.2">
      <c r="A60" s="41">
        <v>1</v>
      </c>
      <c r="B60" s="41">
        <v>765</v>
      </c>
      <c r="C60" s="42">
        <v>42967</v>
      </c>
      <c r="D60" s="41" t="s">
        <v>1797</v>
      </c>
      <c r="E60" s="41" t="s">
        <v>30</v>
      </c>
      <c r="F60" s="41" t="s">
        <v>1231</v>
      </c>
      <c r="G60" s="41" t="s">
        <v>1231</v>
      </c>
      <c r="I60" s="41" t="s">
        <v>31</v>
      </c>
      <c r="J60" s="41">
        <v>2150</v>
      </c>
      <c r="K60" s="59">
        <v>0.54166666666666663</v>
      </c>
      <c r="L60" s="41">
        <v>146</v>
      </c>
      <c r="M60" s="76">
        <f t="shared" si="0"/>
        <v>73.133333333333326</v>
      </c>
      <c r="O60" s="112" t="s">
        <v>32</v>
      </c>
    </row>
    <row r="61" spans="1:15" hidden="1" x14ac:dyDescent="0.2">
      <c r="A61" s="41">
        <v>1</v>
      </c>
      <c r="B61" s="41">
        <v>766</v>
      </c>
      <c r="C61" s="42">
        <v>42968</v>
      </c>
      <c r="D61" s="41" t="s">
        <v>1797</v>
      </c>
      <c r="E61" s="41" t="s">
        <v>30</v>
      </c>
      <c r="F61" s="41" t="s">
        <v>1231</v>
      </c>
      <c r="G61" s="41" t="s">
        <v>806</v>
      </c>
      <c r="I61" s="41" t="s">
        <v>33</v>
      </c>
      <c r="J61" s="41">
        <v>2350</v>
      </c>
      <c r="K61" s="59">
        <v>0.51388888888888895</v>
      </c>
      <c r="L61" s="41">
        <v>180</v>
      </c>
      <c r="M61" s="76">
        <f t="shared" si="0"/>
        <v>76.133333333333326</v>
      </c>
      <c r="O61" s="112" t="s">
        <v>34</v>
      </c>
    </row>
    <row r="62" spans="1:15" hidden="1" x14ac:dyDescent="0.2">
      <c r="A62" s="41">
        <v>1</v>
      </c>
      <c r="B62" s="41">
        <v>767</v>
      </c>
      <c r="C62" s="42">
        <v>42971</v>
      </c>
      <c r="D62" s="41" t="s">
        <v>1797</v>
      </c>
      <c r="E62" s="41" t="s">
        <v>30</v>
      </c>
      <c r="F62" s="41" t="s">
        <v>35</v>
      </c>
      <c r="G62" s="41" t="s">
        <v>35</v>
      </c>
      <c r="K62" s="59">
        <v>0.46527777777777773</v>
      </c>
      <c r="L62" s="41">
        <v>50</v>
      </c>
      <c r="M62" s="76">
        <f t="shared" si="0"/>
        <v>76.966666666666654</v>
      </c>
      <c r="O62" s="112" t="s">
        <v>36</v>
      </c>
    </row>
    <row r="63" spans="1:15" ht="30.6" hidden="1" x14ac:dyDescent="0.2">
      <c r="A63" s="41">
        <v>1</v>
      </c>
      <c r="B63" s="41">
        <v>768</v>
      </c>
      <c r="C63" s="42">
        <v>42972</v>
      </c>
      <c r="D63" s="41" t="s">
        <v>1797</v>
      </c>
      <c r="E63" s="41" t="s">
        <v>532</v>
      </c>
      <c r="F63" s="41" t="s">
        <v>1650</v>
      </c>
      <c r="G63" s="41" t="s">
        <v>1650</v>
      </c>
      <c r="K63" s="59">
        <v>0.46527777777777773</v>
      </c>
      <c r="L63" s="41">
        <v>9</v>
      </c>
      <c r="M63" s="76">
        <f t="shared" si="0"/>
        <v>77.11666666666666</v>
      </c>
      <c r="O63" s="112" t="s">
        <v>37</v>
      </c>
    </row>
    <row r="64" spans="1:15" ht="20.399999999999999" hidden="1" x14ac:dyDescent="0.2">
      <c r="A64" s="41">
        <v>1</v>
      </c>
      <c r="B64" s="41">
        <v>769</v>
      </c>
      <c r="C64" s="42">
        <v>42974</v>
      </c>
      <c r="D64" s="41" t="s">
        <v>1797</v>
      </c>
      <c r="E64" s="41" t="s">
        <v>532</v>
      </c>
      <c r="F64" s="41" t="s">
        <v>1650</v>
      </c>
      <c r="G64" s="41" t="s">
        <v>1650</v>
      </c>
      <c r="I64" s="41" t="s">
        <v>661</v>
      </c>
      <c r="K64" s="59">
        <v>0.61458333333333337</v>
      </c>
      <c r="L64" s="41">
        <v>52</v>
      </c>
      <c r="M64" s="76">
        <f t="shared" si="0"/>
        <v>77.98333333333332</v>
      </c>
      <c r="O64" s="112" t="s">
        <v>38</v>
      </c>
    </row>
    <row r="65" spans="1:15" ht="30.6" hidden="1" x14ac:dyDescent="0.2">
      <c r="A65" s="41">
        <v>1</v>
      </c>
      <c r="B65" s="41">
        <v>770</v>
      </c>
      <c r="C65" s="42">
        <v>42974</v>
      </c>
      <c r="D65" s="41" t="s">
        <v>1797</v>
      </c>
      <c r="E65" s="41" t="s">
        <v>532</v>
      </c>
      <c r="F65" s="41" t="s">
        <v>1650</v>
      </c>
      <c r="G65" s="41" t="s">
        <v>1650</v>
      </c>
      <c r="I65" s="41" t="s">
        <v>39</v>
      </c>
      <c r="K65" s="59">
        <v>0.6875</v>
      </c>
      <c r="L65" s="41">
        <v>20</v>
      </c>
      <c r="M65" s="76">
        <f t="shared" si="0"/>
        <v>78.316666666666649</v>
      </c>
      <c r="O65" s="112" t="s">
        <v>40</v>
      </c>
    </row>
    <row r="66" spans="1:15" ht="51" hidden="1" x14ac:dyDescent="0.2">
      <c r="A66" s="41">
        <v>1</v>
      </c>
      <c r="B66" s="41">
        <v>771</v>
      </c>
      <c r="C66" s="42">
        <v>42975</v>
      </c>
      <c r="D66" s="41" t="s">
        <v>1797</v>
      </c>
      <c r="E66" s="41" t="s">
        <v>532</v>
      </c>
      <c r="F66" s="41" t="s">
        <v>1650</v>
      </c>
      <c r="G66" s="41" t="s">
        <v>1650</v>
      </c>
      <c r="I66" s="41" t="s">
        <v>41</v>
      </c>
      <c r="K66" s="59">
        <v>0.45833333333333331</v>
      </c>
      <c r="L66" s="41">
        <v>52</v>
      </c>
      <c r="M66" s="76">
        <f t="shared" ref="M66:M93" si="1">(M65+L66/60)</f>
        <v>79.183333333333309</v>
      </c>
      <c r="O66" s="112" t="s">
        <v>42</v>
      </c>
    </row>
    <row r="67" spans="1:15" hidden="1" x14ac:dyDescent="0.2">
      <c r="A67" s="41">
        <v>1</v>
      </c>
      <c r="B67" s="41">
        <v>772</v>
      </c>
      <c r="C67" s="42">
        <v>42985</v>
      </c>
      <c r="D67" s="41" t="s">
        <v>1797</v>
      </c>
      <c r="E67" s="41" t="s">
        <v>1800</v>
      </c>
      <c r="F67" s="41" t="s">
        <v>406</v>
      </c>
      <c r="G67" s="41" t="s">
        <v>406</v>
      </c>
      <c r="I67" s="41" t="s">
        <v>336</v>
      </c>
      <c r="L67" s="41">
        <v>10</v>
      </c>
      <c r="M67" s="76">
        <f t="shared" si="1"/>
        <v>79.34999999999998</v>
      </c>
      <c r="O67" s="112" t="s">
        <v>1801</v>
      </c>
    </row>
    <row r="68" spans="1:15" ht="20.399999999999999" hidden="1" x14ac:dyDescent="0.2">
      <c r="A68" s="41">
        <v>1</v>
      </c>
      <c r="B68" s="41">
        <v>773</v>
      </c>
      <c r="C68" s="42">
        <v>42985</v>
      </c>
      <c r="D68" s="41" t="s">
        <v>1797</v>
      </c>
      <c r="E68" s="41" t="s">
        <v>1800</v>
      </c>
      <c r="F68" s="41" t="s">
        <v>406</v>
      </c>
      <c r="G68" s="41" t="s">
        <v>406</v>
      </c>
      <c r="I68" s="41" t="s">
        <v>336</v>
      </c>
      <c r="L68" s="41">
        <v>3</v>
      </c>
      <c r="M68" s="76">
        <f t="shared" si="1"/>
        <v>79.399999999999977</v>
      </c>
      <c r="O68" s="112" t="s">
        <v>1802</v>
      </c>
    </row>
    <row r="69" spans="1:15" ht="40.799999999999997" hidden="1" x14ac:dyDescent="0.2">
      <c r="A69" s="41">
        <v>1</v>
      </c>
      <c r="B69" s="41">
        <v>774</v>
      </c>
      <c r="C69" s="42">
        <v>42990</v>
      </c>
      <c r="D69" s="41" t="s">
        <v>1797</v>
      </c>
      <c r="E69" s="41" t="s">
        <v>43</v>
      </c>
      <c r="F69" s="41" t="s">
        <v>44</v>
      </c>
      <c r="G69" s="41" t="s">
        <v>44</v>
      </c>
      <c r="I69" s="41" t="s">
        <v>33</v>
      </c>
      <c r="K69" s="59">
        <v>0.74305555555555547</v>
      </c>
      <c r="L69" s="41">
        <v>33</v>
      </c>
      <c r="M69" s="76">
        <f t="shared" si="1"/>
        <v>79.949999999999974</v>
      </c>
      <c r="O69" s="112" t="s">
        <v>45</v>
      </c>
    </row>
    <row r="70" spans="1:15" ht="30.6" hidden="1" x14ac:dyDescent="0.2">
      <c r="A70" s="41">
        <v>1</v>
      </c>
      <c r="B70" s="41">
        <v>775</v>
      </c>
      <c r="C70" s="42">
        <v>42991</v>
      </c>
      <c r="D70" s="41" t="s">
        <v>1797</v>
      </c>
      <c r="E70" s="41" t="s">
        <v>43</v>
      </c>
      <c r="F70" s="41" t="s">
        <v>44</v>
      </c>
      <c r="G70" s="41" t="s">
        <v>44</v>
      </c>
      <c r="I70" s="41" t="s">
        <v>33</v>
      </c>
      <c r="K70" s="59">
        <v>0.66666666666666663</v>
      </c>
      <c r="L70" s="41">
        <v>22</v>
      </c>
      <c r="M70" s="76">
        <f t="shared" si="1"/>
        <v>80.316666666666634</v>
      </c>
      <c r="O70" s="112" t="s">
        <v>46</v>
      </c>
    </row>
    <row r="71" spans="1:15" ht="20.399999999999999" hidden="1" x14ac:dyDescent="0.2">
      <c r="A71" s="41">
        <v>1</v>
      </c>
      <c r="B71" s="41">
        <v>776</v>
      </c>
      <c r="C71" s="42">
        <v>42991</v>
      </c>
      <c r="D71" s="41" t="s">
        <v>1797</v>
      </c>
      <c r="E71" s="41" t="s">
        <v>43</v>
      </c>
      <c r="F71" s="41" t="s">
        <v>44</v>
      </c>
      <c r="G71" s="41" t="s">
        <v>44</v>
      </c>
      <c r="I71" s="41" t="s">
        <v>33</v>
      </c>
      <c r="K71" s="59">
        <v>0.71527777777777779</v>
      </c>
      <c r="L71" s="41">
        <v>29</v>
      </c>
      <c r="M71" s="76">
        <f t="shared" si="1"/>
        <v>80.799999999999969</v>
      </c>
      <c r="O71" s="112" t="s">
        <v>47</v>
      </c>
    </row>
    <row r="72" spans="1:15" ht="102" hidden="1" x14ac:dyDescent="0.2">
      <c r="A72" s="41">
        <v>1</v>
      </c>
      <c r="B72" s="41">
        <v>777</v>
      </c>
      <c r="C72" s="42">
        <v>42994</v>
      </c>
      <c r="D72" s="41" t="s">
        <v>1797</v>
      </c>
      <c r="E72" s="41" t="s">
        <v>43</v>
      </c>
      <c r="F72" s="41" t="s">
        <v>1803</v>
      </c>
      <c r="G72" s="41" t="s">
        <v>1803</v>
      </c>
      <c r="I72" s="41" t="s">
        <v>1804</v>
      </c>
      <c r="J72" s="41">
        <v>2600</v>
      </c>
      <c r="K72" s="59">
        <v>0.5</v>
      </c>
      <c r="L72" s="41">
        <v>92</v>
      </c>
      <c r="M72" s="76">
        <f t="shared" si="1"/>
        <v>82.3333333333333</v>
      </c>
      <c r="O72" s="112" t="s">
        <v>1805</v>
      </c>
    </row>
    <row r="73" spans="1:15" ht="51" hidden="1" x14ac:dyDescent="0.2">
      <c r="A73" s="41">
        <v>1</v>
      </c>
      <c r="B73" s="41">
        <v>778</v>
      </c>
      <c r="C73" s="42">
        <v>42994</v>
      </c>
      <c r="D73" s="41" t="s">
        <v>1797</v>
      </c>
      <c r="E73" s="41" t="s">
        <v>43</v>
      </c>
      <c r="F73" s="41" t="s">
        <v>1803</v>
      </c>
      <c r="G73" s="41" t="s">
        <v>1803</v>
      </c>
      <c r="I73" s="41" t="s">
        <v>1804</v>
      </c>
      <c r="J73" s="41">
        <v>2600</v>
      </c>
      <c r="K73" s="59">
        <v>0.67083333333333339</v>
      </c>
      <c r="L73" s="41">
        <v>80</v>
      </c>
      <c r="M73" s="76">
        <f t="shared" si="1"/>
        <v>83.666666666666629</v>
      </c>
      <c r="O73" s="112" t="s">
        <v>1806</v>
      </c>
    </row>
    <row r="74" spans="1:15" ht="112.2" hidden="1" x14ac:dyDescent="0.2">
      <c r="A74" s="41">
        <v>1</v>
      </c>
      <c r="B74" s="41">
        <v>779</v>
      </c>
      <c r="C74" s="42">
        <v>42995</v>
      </c>
      <c r="D74" s="41" t="s">
        <v>1797</v>
      </c>
      <c r="E74" s="41" t="s">
        <v>43</v>
      </c>
      <c r="F74" s="41" t="s">
        <v>1803</v>
      </c>
      <c r="G74" s="41" t="s">
        <v>1803</v>
      </c>
      <c r="I74" s="41" t="s">
        <v>50</v>
      </c>
      <c r="J74" s="41">
        <v>2675</v>
      </c>
      <c r="K74" s="59">
        <v>0.5</v>
      </c>
      <c r="L74" s="41">
        <v>50</v>
      </c>
      <c r="M74" s="76">
        <f t="shared" si="1"/>
        <v>84.499999999999957</v>
      </c>
      <c r="O74" s="112" t="s">
        <v>51</v>
      </c>
    </row>
    <row r="75" spans="1:15" ht="81.599999999999994" hidden="1" x14ac:dyDescent="0.2">
      <c r="A75" s="41">
        <v>1</v>
      </c>
      <c r="B75" s="41">
        <v>780</v>
      </c>
      <c r="C75" s="42">
        <v>42996</v>
      </c>
      <c r="D75" s="41" t="s">
        <v>1797</v>
      </c>
      <c r="E75" s="41" t="s">
        <v>48</v>
      </c>
      <c r="F75" s="41" t="s">
        <v>49</v>
      </c>
      <c r="G75" s="41" t="s">
        <v>49</v>
      </c>
      <c r="I75" s="41" t="s">
        <v>31</v>
      </c>
      <c r="J75" s="41">
        <v>1500</v>
      </c>
      <c r="K75" s="59">
        <v>0.58333333333333337</v>
      </c>
      <c r="L75" s="41">
        <v>59</v>
      </c>
      <c r="M75" s="76">
        <f t="shared" si="1"/>
        <v>85.483333333333292</v>
      </c>
      <c r="O75" s="112" t="s">
        <v>52</v>
      </c>
    </row>
    <row r="76" spans="1:15" ht="20.399999999999999" hidden="1" x14ac:dyDescent="0.2">
      <c r="A76" s="41">
        <v>1</v>
      </c>
      <c r="B76" s="41">
        <v>781</v>
      </c>
      <c r="C76" s="42">
        <v>42998</v>
      </c>
      <c r="D76" s="41" t="s">
        <v>1797</v>
      </c>
      <c r="E76" s="41" t="s">
        <v>48</v>
      </c>
      <c r="F76" s="41" t="s">
        <v>1807</v>
      </c>
      <c r="G76" s="41" t="s">
        <v>1807</v>
      </c>
      <c r="I76" s="41" t="s">
        <v>31</v>
      </c>
      <c r="J76" s="41">
        <v>1710</v>
      </c>
      <c r="K76" s="59">
        <v>0.68055555555555547</v>
      </c>
      <c r="L76" s="41">
        <v>30</v>
      </c>
      <c r="M76" s="76">
        <f t="shared" si="1"/>
        <v>85.983333333333292</v>
      </c>
      <c r="O76" s="112" t="s">
        <v>1811</v>
      </c>
    </row>
    <row r="77" spans="1:15" hidden="1" x14ac:dyDescent="0.2">
      <c r="A77" s="41">
        <v>1</v>
      </c>
      <c r="B77" s="41">
        <v>782</v>
      </c>
      <c r="C77" s="42">
        <v>42999</v>
      </c>
      <c r="D77" s="41" t="s">
        <v>1797</v>
      </c>
      <c r="E77" s="41" t="s">
        <v>48</v>
      </c>
      <c r="F77" s="41" t="s">
        <v>1808</v>
      </c>
      <c r="G77" s="41" t="s">
        <v>1808</v>
      </c>
      <c r="J77" s="41">
        <v>890</v>
      </c>
      <c r="K77" s="59">
        <v>0.51388888888888895</v>
      </c>
      <c r="L77" s="41">
        <v>110</v>
      </c>
      <c r="M77" s="76">
        <f t="shared" si="1"/>
        <v>87.81666666666662</v>
      </c>
      <c r="O77" s="112" t="s">
        <v>1809</v>
      </c>
    </row>
    <row r="78" spans="1:15" hidden="1" x14ac:dyDescent="0.2">
      <c r="A78" s="41">
        <v>1</v>
      </c>
      <c r="B78" s="41">
        <v>783</v>
      </c>
      <c r="C78" s="42">
        <v>43000</v>
      </c>
      <c r="D78" s="41" t="s">
        <v>1797</v>
      </c>
      <c r="E78" s="41" t="s">
        <v>48</v>
      </c>
      <c r="F78" s="41" t="s">
        <v>1808</v>
      </c>
      <c r="G78" s="41" t="s">
        <v>1808</v>
      </c>
      <c r="J78" s="41">
        <v>890</v>
      </c>
      <c r="K78" s="59">
        <v>0.5</v>
      </c>
      <c r="L78" s="41">
        <v>21</v>
      </c>
      <c r="M78" s="76">
        <f t="shared" si="1"/>
        <v>88.166666666666615</v>
      </c>
      <c r="O78" s="112" t="s">
        <v>1810</v>
      </c>
    </row>
    <row r="79" spans="1:15" hidden="1" x14ac:dyDescent="0.2">
      <c r="A79" s="41">
        <v>1</v>
      </c>
      <c r="B79" s="41">
        <v>784</v>
      </c>
      <c r="C79" s="42">
        <v>43005</v>
      </c>
      <c r="D79" s="41" t="s">
        <v>1797</v>
      </c>
      <c r="E79" s="41" t="s">
        <v>532</v>
      </c>
      <c r="F79" s="41" t="s">
        <v>1650</v>
      </c>
      <c r="G79" s="41" t="s">
        <v>1650</v>
      </c>
      <c r="L79" s="41">
        <v>187</v>
      </c>
      <c r="M79" s="76">
        <f t="shared" si="1"/>
        <v>91.283333333333275</v>
      </c>
      <c r="O79" s="112" t="s">
        <v>1815</v>
      </c>
    </row>
    <row r="80" spans="1:15" ht="20.399999999999999" hidden="1" x14ac:dyDescent="0.2">
      <c r="A80" s="41">
        <v>1</v>
      </c>
      <c r="B80" s="41">
        <v>785</v>
      </c>
      <c r="C80" s="42">
        <v>43012</v>
      </c>
      <c r="D80" s="41" t="s">
        <v>1797</v>
      </c>
      <c r="E80" s="41" t="s">
        <v>127</v>
      </c>
      <c r="F80" s="41" t="s">
        <v>1813</v>
      </c>
      <c r="G80" s="41" t="s">
        <v>1814</v>
      </c>
      <c r="L80" s="41">
        <v>10</v>
      </c>
      <c r="M80" s="76">
        <f t="shared" si="1"/>
        <v>91.449999999999946</v>
      </c>
      <c r="O80" s="112" t="s">
        <v>1816</v>
      </c>
    </row>
    <row r="81" spans="1:15" ht="20.399999999999999" hidden="1" x14ac:dyDescent="0.2">
      <c r="A81" s="41">
        <v>1</v>
      </c>
      <c r="B81" s="41">
        <v>786</v>
      </c>
      <c r="C81" s="42">
        <v>43017</v>
      </c>
      <c r="D81" s="41" t="s">
        <v>1812</v>
      </c>
      <c r="E81" s="41" t="s">
        <v>532</v>
      </c>
      <c r="F81" s="41" t="s">
        <v>1650</v>
      </c>
      <c r="G81" s="41" t="s">
        <v>1650</v>
      </c>
      <c r="L81" s="41">
        <v>10</v>
      </c>
      <c r="M81" s="76">
        <f t="shared" si="1"/>
        <v>91.616666666666617</v>
      </c>
      <c r="O81" s="112" t="s">
        <v>1817</v>
      </c>
    </row>
    <row r="82" spans="1:15" ht="40.799999999999997" hidden="1" x14ac:dyDescent="0.2">
      <c r="A82" s="41">
        <v>1</v>
      </c>
      <c r="B82" s="41">
        <v>787</v>
      </c>
      <c r="C82" s="42">
        <v>43022</v>
      </c>
      <c r="D82" s="41" t="s">
        <v>1797</v>
      </c>
      <c r="E82" s="41" t="s">
        <v>30</v>
      </c>
      <c r="F82" s="41" t="s">
        <v>1818</v>
      </c>
      <c r="G82" s="41" t="s">
        <v>1820</v>
      </c>
      <c r="L82" s="41">
        <v>62</v>
      </c>
      <c r="M82" s="76">
        <f t="shared" si="1"/>
        <v>92.649999999999949</v>
      </c>
      <c r="O82" s="112" t="s">
        <v>1821</v>
      </c>
    </row>
    <row r="83" spans="1:15" ht="61.2" hidden="1" x14ac:dyDescent="0.2">
      <c r="A83" s="41">
        <v>1</v>
      </c>
      <c r="B83" s="41">
        <v>788</v>
      </c>
      <c r="C83" s="42">
        <v>43032</v>
      </c>
      <c r="D83" s="41" t="s">
        <v>1797</v>
      </c>
      <c r="E83" s="41" t="s">
        <v>30</v>
      </c>
      <c r="F83" s="41" t="s">
        <v>1819</v>
      </c>
      <c r="G83" s="41" t="s">
        <v>1819</v>
      </c>
      <c r="L83" s="41">
        <v>125</v>
      </c>
      <c r="M83" s="76">
        <f t="shared" si="1"/>
        <v>94.733333333333277</v>
      </c>
      <c r="O83" s="112" t="s">
        <v>1822</v>
      </c>
    </row>
    <row r="84" spans="1:15" ht="81.599999999999994" hidden="1" x14ac:dyDescent="0.2">
      <c r="A84" s="41">
        <v>1</v>
      </c>
      <c r="B84" s="41">
        <v>789</v>
      </c>
      <c r="C84" s="42">
        <v>43053</v>
      </c>
      <c r="D84" s="41" t="s">
        <v>1797</v>
      </c>
      <c r="E84" s="41" t="s">
        <v>532</v>
      </c>
      <c r="F84" s="41" t="s">
        <v>1650</v>
      </c>
      <c r="G84" s="41" t="s">
        <v>1650</v>
      </c>
      <c r="H84" s="41" t="s">
        <v>1830</v>
      </c>
      <c r="K84" s="59">
        <v>13</v>
      </c>
      <c r="L84" s="41">
        <v>65</v>
      </c>
      <c r="M84" s="76">
        <f t="shared" si="1"/>
        <v>95.816666666666606</v>
      </c>
      <c r="O84" s="112" t="s">
        <v>1824</v>
      </c>
    </row>
    <row r="85" spans="1:15" hidden="1" x14ac:dyDescent="0.2">
      <c r="A85" s="41">
        <v>1</v>
      </c>
      <c r="B85" s="41">
        <v>790</v>
      </c>
      <c r="C85" s="42">
        <v>43054</v>
      </c>
      <c r="D85" s="41" t="s">
        <v>1797</v>
      </c>
      <c r="E85" s="41" t="s">
        <v>532</v>
      </c>
      <c r="F85" s="41" t="s">
        <v>1650</v>
      </c>
      <c r="G85" s="41" t="s">
        <v>1650</v>
      </c>
      <c r="L85" s="41">
        <v>5</v>
      </c>
      <c r="M85" s="76">
        <f t="shared" si="1"/>
        <v>95.899999999999935</v>
      </c>
      <c r="O85" s="112" t="s">
        <v>1825</v>
      </c>
    </row>
    <row r="86" spans="1:15" hidden="1" x14ac:dyDescent="0.2">
      <c r="A86" s="41">
        <v>1</v>
      </c>
      <c r="B86" s="41">
        <v>791</v>
      </c>
      <c r="C86" s="42">
        <v>43054</v>
      </c>
      <c r="D86" s="41" t="s">
        <v>1797</v>
      </c>
      <c r="E86" s="41" t="s">
        <v>532</v>
      </c>
      <c r="F86" s="41" t="s">
        <v>1650</v>
      </c>
      <c r="G86" s="41" t="s">
        <v>1650</v>
      </c>
      <c r="L86" s="41">
        <v>10</v>
      </c>
      <c r="M86" s="76">
        <f t="shared" si="1"/>
        <v>96.066666666666606</v>
      </c>
      <c r="O86" s="112" t="s">
        <v>1826</v>
      </c>
    </row>
    <row r="87" spans="1:15" ht="51" hidden="1" x14ac:dyDescent="0.2">
      <c r="A87" s="41">
        <v>1</v>
      </c>
      <c r="B87" s="41">
        <v>792</v>
      </c>
      <c r="C87" s="42">
        <v>43055</v>
      </c>
      <c r="D87" s="41" t="s">
        <v>1797</v>
      </c>
      <c r="E87" s="41" t="s">
        <v>532</v>
      </c>
      <c r="F87" s="41" t="s">
        <v>1828</v>
      </c>
      <c r="G87" s="41" t="s">
        <v>909</v>
      </c>
      <c r="H87" s="41" t="s">
        <v>1830</v>
      </c>
      <c r="L87" s="41">
        <v>15</v>
      </c>
      <c r="M87" s="76">
        <f t="shared" si="1"/>
        <v>96.316666666666606</v>
      </c>
      <c r="O87" s="112" t="s">
        <v>1827</v>
      </c>
    </row>
    <row r="88" spans="1:15" ht="71.400000000000006" hidden="1" x14ac:dyDescent="0.2">
      <c r="A88" s="41">
        <v>1</v>
      </c>
      <c r="B88" s="41">
        <v>793</v>
      </c>
      <c r="C88" s="42">
        <v>43056</v>
      </c>
      <c r="D88" s="41" t="s">
        <v>1797</v>
      </c>
      <c r="E88" s="41" t="s">
        <v>532</v>
      </c>
      <c r="F88" s="41" t="s">
        <v>1831</v>
      </c>
      <c r="G88" s="41" t="s">
        <v>1832</v>
      </c>
      <c r="H88" s="41" t="s">
        <v>1830</v>
      </c>
      <c r="I88" s="41" t="s">
        <v>1833</v>
      </c>
      <c r="K88" s="59" t="s">
        <v>1834</v>
      </c>
      <c r="L88" s="41">
        <v>10</v>
      </c>
      <c r="M88" s="76">
        <f t="shared" si="1"/>
        <v>96.483333333333277</v>
      </c>
      <c r="O88" s="112" t="s">
        <v>1835</v>
      </c>
    </row>
    <row r="89" spans="1:15" ht="30.6" hidden="1" x14ac:dyDescent="0.2">
      <c r="A89" s="41">
        <v>1</v>
      </c>
      <c r="B89" s="41">
        <v>794</v>
      </c>
      <c r="C89" s="42">
        <v>43060</v>
      </c>
      <c r="D89" s="41" t="s">
        <v>1797</v>
      </c>
      <c r="E89" s="41" t="s">
        <v>532</v>
      </c>
      <c r="F89" s="41" t="s">
        <v>1836</v>
      </c>
      <c r="G89" s="41" t="s">
        <v>1650</v>
      </c>
      <c r="H89" s="41" t="s">
        <v>1830</v>
      </c>
      <c r="I89" s="41" t="s">
        <v>1837</v>
      </c>
      <c r="J89" s="41">
        <v>1800</v>
      </c>
      <c r="K89" s="59">
        <v>0.55208333333333337</v>
      </c>
      <c r="L89" s="41">
        <v>48</v>
      </c>
      <c r="M89" s="76">
        <f t="shared" si="1"/>
        <v>97.283333333333275</v>
      </c>
      <c r="O89" s="112" t="s">
        <v>1838</v>
      </c>
    </row>
    <row r="90" spans="1:15" ht="208.2" hidden="1" customHeight="1" x14ac:dyDescent="0.2">
      <c r="A90" s="41">
        <v>1</v>
      </c>
      <c r="B90" s="41">
        <v>795</v>
      </c>
      <c r="C90" s="42">
        <v>43066</v>
      </c>
      <c r="D90" s="41" t="s">
        <v>1797</v>
      </c>
      <c r="E90" s="41" t="s">
        <v>1839</v>
      </c>
      <c r="F90" s="41" t="s">
        <v>1840</v>
      </c>
      <c r="G90" s="41" t="s">
        <v>1841</v>
      </c>
      <c r="H90" s="41" t="s">
        <v>1830</v>
      </c>
      <c r="I90" s="41" t="s">
        <v>1842</v>
      </c>
      <c r="J90" s="41">
        <v>1200</v>
      </c>
      <c r="K90" s="59">
        <v>0.5625</v>
      </c>
      <c r="L90" s="41">
        <v>82</v>
      </c>
      <c r="M90" s="76">
        <f t="shared" si="1"/>
        <v>98.649999999999935</v>
      </c>
      <c r="O90" s="112" t="s">
        <v>1843</v>
      </c>
    </row>
    <row r="91" spans="1:15" ht="61.2" hidden="1" x14ac:dyDescent="0.2">
      <c r="A91" s="41">
        <v>1</v>
      </c>
      <c r="B91" s="41">
        <v>796</v>
      </c>
      <c r="C91" s="42">
        <v>43074</v>
      </c>
      <c r="D91" s="41" t="s">
        <v>1797</v>
      </c>
      <c r="E91" s="41" t="s">
        <v>532</v>
      </c>
      <c r="F91" s="41" t="s">
        <v>1650</v>
      </c>
      <c r="G91" s="41" t="s">
        <v>1650</v>
      </c>
      <c r="H91" s="41" t="s">
        <v>1830</v>
      </c>
      <c r="I91" s="41" t="s">
        <v>1844</v>
      </c>
      <c r="K91" s="59">
        <v>0.55555555555555558</v>
      </c>
      <c r="L91" s="41">
        <v>82</v>
      </c>
      <c r="M91" s="76">
        <f t="shared" si="1"/>
        <v>100.01666666666659</v>
      </c>
      <c r="O91" s="112" t="s">
        <v>1845</v>
      </c>
    </row>
    <row r="92" spans="1:15" ht="81.599999999999994" hidden="1" x14ac:dyDescent="0.2">
      <c r="A92" s="41">
        <v>1</v>
      </c>
      <c r="B92" s="41">
        <v>797</v>
      </c>
      <c r="C92" s="42">
        <v>43089</v>
      </c>
      <c r="D92" s="41" t="s">
        <v>1797</v>
      </c>
      <c r="E92" s="41" t="s">
        <v>532</v>
      </c>
      <c r="F92" s="41" t="s">
        <v>1650</v>
      </c>
      <c r="G92" s="41" t="s">
        <v>1650</v>
      </c>
      <c r="H92" s="41" t="s">
        <v>1830</v>
      </c>
      <c r="I92" s="41" t="s">
        <v>1846</v>
      </c>
      <c r="L92" s="41">
        <v>20</v>
      </c>
      <c r="M92" s="76">
        <f t="shared" si="1"/>
        <v>100.34999999999992</v>
      </c>
      <c r="O92" s="112" t="s">
        <v>1847</v>
      </c>
    </row>
    <row r="93" spans="1:15" ht="204" hidden="1" x14ac:dyDescent="0.2">
      <c r="A93" s="41">
        <v>1</v>
      </c>
      <c r="B93" s="41">
        <v>798</v>
      </c>
      <c r="C93" s="42">
        <v>43093</v>
      </c>
      <c r="D93" s="41" t="s">
        <v>1797</v>
      </c>
      <c r="E93" s="41" t="s">
        <v>532</v>
      </c>
      <c r="F93" s="41" t="s">
        <v>1848</v>
      </c>
      <c r="G93" s="41" t="s">
        <v>1849</v>
      </c>
      <c r="H93" s="41" t="s">
        <v>1830</v>
      </c>
      <c r="I93" s="41" t="s">
        <v>661</v>
      </c>
      <c r="K93" s="59">
        <v>0.54166666666666663</v>
      </c>
      <c r="L93" s="41">
        <v>15</v>
      </c>
      <c r="M93" s="76">
        <f t="shared" si="1"/>
        <v>100.59999999999992</v>
      </c>
      <c r="O93" s="112" t="s">
        <v>1850</v>
      </c>
    </row>
  </sheetData>
  <autoFilter ref="A1:Q93">
    <filterColumn colId="3">
      <filters>
        <filter val="Gradient Nevada 2 - 24 Light"/>
      </filters>
    </filterColumn>
  </autoFilter>
  <phoneticPr fontId="14"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Acrobat Document" dvAspect="DVASPECT_ICON" shapeId="16386" r:id="rId4">
          <objectPr defaultSize="0" r:id="rId5">
            <anchor moveWithCells="1">
              <from>
                <xdr:col>15</xdr:col>
                <xdr:colOff>0</xdr:colOff>
                <xdr:row>22</xdr:row>
                <xdr:rowOff>0</xdr:rowOff>
              </from>
              <to>
                <xdr:col>15</xdr:col>
                <xdr:colOff>937260</xdr:colOff>
                <xdr:row>51</xdr:row>
                <xdr:rowOff>106680</xdr:rowOff>
              </to>
            </anchor>
          </objectPr>
        </oleObject>
      </mc:Choice>
      <mc:Fallback>
        <oleObject progId="Acrobat Document" dvAspect="DVASPECT_ICON" shapeId="16386" r:id="rId4"/>
      </mc:Fallback>
    </mc:AlternateContent>
    <mc:AlternateContent xmlns:mc="http://schemas.openxmlformats.org/markup-compatibility/2006">
      <mc:Choice Requires="x14">
        <oleObject progId="Document" dvAspect="DVASPECT_ICON" shapeId="16387" r:id="rId6">
          <objectPr defaultSize="0" autoPict="0" r:id="rId7">
            <anchor moveWithCells="1">
              <from>
                <xdr:col>14</xdr:col>
                <xdr:colOff>2895600</xdr:colOff>
                <xdr:row>34</xdr:row>
                <xdr:rowOff>15240</xdr:rowOff>
              </from>
              <to>
                <xdr:col>14</xdr:col>
                <xdr:colOff>4069080</xdr:colOff>
                <xdr:row>51</xdr:row>
                <xdr:rowOff>106680</xdr:rowOff>
              </to>
            </anchor>
          </objectPr>
        </oleObject>
      </mc:Choice>
      <mc:Fallback>
        <oleObject progId="Document" dvAspect="DVASPECT_ICON" shapeId="16387" r:id="rId6"/>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31" sqref="L31"/>
    </sheetView>
  </sheetViews>
  <sheetFormatPr baseColWidth="10" defaultRowHeight="13.2" x14ac:dyDescent="0.25"/>
  <sheetData/>
  <phoneticPr fontId="1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4"/>
  <sheetViews>
    <sheetView workbookViewId="0">
      <pane ySplit="2" topLeftCell="A3" activePane="bottomLeft" state="frozenSplit"/>
      <selection pane="bottomLeft" activeCell="A9" sqref="A9:XFD9"/>
    </sheetView>
  </sheetViews>
  <sheetFormatPr baseColWidth="10" defaultColWidth="11.44140625" defaultRowHeight="10.199999999999999" x14ac:dyDescent="0.2"/>
  <cols>
    <col min="1" max="1" width="4.109375" style="41" customWidth="1"/>
    <col min="2" max="2" width="9.88671875" style="41" bestFit="1" customWidth="1"/>
    <col min="3" max="3" width="8.6640625" style="84" bestFit="1" customWidth="1"/>
    <col min="4" max="4" width="9.33203125" style="41" bestFit="1" customWidth="1"/>
    <col min="5" max="5" width="13.5546875" style="41" customWidth="1"/>
    <col min="6" max="8" width="11.44140625" style="41" customWidth="1"/>
    <col min="9" max="10" width="11.44140625" style="41" hidden="1" customWidth="1"/>
    <col min="11" max="11" width="11.44140625" style="41" customWidth="1"/>
    <col min="12" max="12" width="11.44140625" style="41" hidden="1" customWidth="1"/>
    <col min="13" max="13" width="11.44140625" style="59" customWidth="1"/>
    <col min="14" max="14" width="11.44140625" style="41" customWidth="1"/>
    <col min="15" max="15" width="11.44140625" style="76" customWidth="1"/>
    <col min="16" max="16" width="11.44140625" style="41" customWidth="1"/>
    <col min="17" max="17" width="66.44140625" style="43" customWidth="1"/>
    <col min="18" max="18" width="21.6640625" style="43" customWidth="1"/>
    <col min="19" max="16384" width="11.44140625" style="41"/>
  </cols>
  <sheetData>
    <row r="1" spans="1:19" s="81" customFormat="1" ht="18" customHeight="1" x14ac:dyDescent="0.2">
      <c r="A1" s="77" t="s">
        <v>535</v>
      </c>
      <c r="B1" s="78"/>
      <c r="C1" s="82"/>
      <c r="D1" s="78"/>
      <c r="E1" s="78"/>
      <c r="F1" s="78"/>
      <c r="G1" s="78"/>
      <c r="H1" s="78"/>
      <c r="I1" s="78"/>
      <c r="J1" s="78"/>
      <c r="K1" s="78"/>
      <c r="L1" s="78"/>
      <c r="M1" s="79"/>
      <c r="N1" s="78"/>
      <c r="O1" s="80"/>
      <c r="P1" s="78"/>
      <c r="Q1" s="78"/>
      <c r="R1" s="78"/>
    </row>
    <row r="2" spans="1:19" s="53" customFormat="1" ht="20.399999999999999" x14ac:dyDescent="0.25">
      <c r="A2" s="45" t="s">
        <v>1178</v>
      </c>
      <c r="B2" s="45" t="s">
        <v>1164</v>
      </c>
      <c r="C2" s="83" t="s">
        <v>1165</v>
      </c>
      <c r="D2" s="45" t="s">
        <v>1166</v>
      </c>
      <c r="E2" s="45" t="s">
        <v>1167</v>
      </c>
      <c r="F2" s="45" t="s">
        <v>530</v>
      </c>
      <c r="G2" s="45" t="s">
        <v>531</v>
      </c>
      <c r="H2" s="45" t="s">
        <v>1177</v>
      </c>
      <c r="I2" s="45" t="s">
        <v>1171</v>
      </c>
      <c r="J2" s="45" t="s">
        <v>1172</v>
      </c>
      <c r="K2" s="45" t="s">
        <v>1173</v>
      </c>
      <c r="L2" s="45" t="s">
        <v>1174</v>
      </c>
      <c r="M2" s="58" t="s">
        <v>411</v>
      </c>
      <c r="N2" s="45" t="s">
        <v>1175</v>
      </c>
      <c r="O2" s="75" t="s">
        <v>321</v>
      </c>
      <c r="P2" s="45" t="s">
        <v>1179</v>
      </c>
      <c r="Q2" s="45" t="s">
        <v>383</v>
      </c>
      <c r="R2" s="45" t="s">
        <v>384</v>
      </c>
      <c r="S2" s="53" t="s">
        <v>205</v>
      </c>
    </row>
    <row r="3" spans="1:19" x14ac:dyDescent="0.2">
      <c r="C3" s="84">
        <v>42371</v>
      </c>
      <c r="D3" s="41" t="s">
        <v>157</v>
      </c>
      <c r="E3" s="41" t="s">
        <v>533</v>
      </c>
      <c r="F3" s="41" t="s">
        <v>534</v>
      </c>
      <c r="Q3" s="43" t="s">
        <v>385</v>
      </c>
    </row>
    <row r="4" spans="1:19" ht="30.6" x14ac:dyDescent="0.2">
      <c r="C4" s="84">
        <v>42378</v>
      </c>
      <c r="D4" s="41" t="s">
        <v>157</v>
      </c>
      <c r="E4" s="41" t="s">
        <v>533</v>
      </c>
      <c r="F4" s="41" t="s">
        <v>534</v>
      </c>
      <c r="N4" s="41">
        <v>0</v>
      </c>
      <c r="O4" s="76">
        <f t="shared" ref="O4:O35" si="0">(O3+N4/60)</f>
        <v>0</v>
      </c>
      <c r="Q4" s="43" t="s">
        <v>386</v>
      </c>
      <c r="R4" s="43">
        <v>1.4</v>
      </c>
    </row>
    <row r="5" spans="1:19" ht="51" x14ac:dyDescent="0.2">
      <c r="C5" s="84">
        <v>42393</v>
      </c>
      <c r="D5" s="41" t="s">
        <v>157</v>
      </c>
      <c r="E5" s="41" t="s">
        <v>533</v>
      </c>
      <c r="F5" s="41" t="s">
        <v>534</v>
      </c>
      <c r="N5" s="41">
        <v>0</v>
      </c>
      <c r="O5" s="76">
        <f t="shared" si="0"/>
        <v>0</v>
      </c>
      <c r="Q5" s="43" t="s">
        <v>392</v>
      </c>
      <c r="R5" s="43">
        <v>1.6</v>
      </c>
    </row>
    <row r="6" spans="1:19" ht="51" x14ac:dyDescent="0.2">
      <c r="A6" s="41">
        <v>1</v>
      </c>
      <c r="B6" s="41">
        <v>653</v>
      </c>
      <c r="C6" s="84">
        <v>42420</v>
      </c>
      <c r="D6" s="41" t="s">
        <v>157</v>
      </c>
      <c r="E6" s="41" t="s">
        <v>532</v>
      </c>
      <c r="F6" s="41" t="s">
        <v>1650</v>
      </c>
      <c r="G6" s="41" t="s">
        <v>1650</v>
      </c>
      <c r="H6" s="41" t="s">
        <v>393</v>
      </c>
      <c r="N6" s="41">
        <v>75</v>
      </c>
      <c r="O6" s="76">
        <f t="shared" si="0"/>
        <v>1.25</v>
      </c>
      <c r="Q6" s="43" t="s">
        <v>323</v>
      </c>
      <c r="R6" s="43">
        <v>2.2999999999999998</v>
      </c>
    </row>
    <row r="7" spans="1:19" ht="40.799999999999997" x14ac:dyDescent="0.2">
      <c r="A7" s="41">
        <v>1</v>
      </c>
      <c r="B7" s="41">
        <v>654</v>
      </c>
      <c r="C7" s="84">
        <v>42421</v>
      </c>
      <c r="D7" s="41" t="s">
        <v>157</v>
      </c>
      <c r="E7" s="41" t="s">
        <v>532</v>
      </c>
      <c r="F7" s="41" t="s">
        <v>1650</v>
      </c>
      <c r="G7" s="41" t="s">
        <v>1650</v>
      </c>
      <c r="H7" s="41" t="s">
        <v>394</v>
      </c>
      <c r="N7" s="41">
        <v>45</v>
      </c>
      <c r="O7" s="76">
        <f t="shared" si="0"/>
        <v>2</v>
      </c>
      <c r="Q7" s="43" t="s">
        <v>330</v>
      </c>
    </row>
    <row r="8" spans="1:19" ht="40.799999999999997" x14ac:dyDescent="0.2">
      <c r="A8" s="41">
        <v>1</v>
      </c>
      <c r="B8" s="41">
        <v>655</v>
      </c>
      <c r="C8" s="84">
        <v>42455</v>
      </c>
      <c r="D8" s="41" t="s">
        <v>157</v>
      </c>
      <c r="E8" s="41" t="s">
        <v>532</v>
      </c>
      <c r="F8" s="41" t="s">
        <v>1650</v>
      </c>
      <c r="G8" s="41" t="s">
        <v>395</v>
      </c>
      <c r="H8" s="41" t="s">
        <v>396</v>
      </c>
      <c r="N8" s="41">
        <v>100</v>
      </c>
      <c r="O8" s="76">
        <f t="shared" si="0"/>
        <v>3.666666666666667</v>
      </c>
      <c r="P8" s="41">
        <v>8</v>
      </c>
      <c r="Q8" s="112" t="s">
        <v>399</v>
      </c>
      <c r="R8" s="43" t="s">
        <v>398</v>
      </c>
    </row>
    <row r="9" spans="1:19" ht="30.6" x14ac:dyDescent="0.2">
      <c r="A9" s="41">
        <v>1</v>
      </c>
      <c r="B9" s="41">
        <v>656</v>
      </c>
      <c r="C9" s="84">
        <v>42455</v>
      </c>
      <c r="D9" s="41" t="s">
        <v>157</v>
      </c>
      <c r="E9" s="41" t="s">
        <v>532</v>
      </c>
      <c r="F9" s="41" t="s">
        <v>1650</v>
      </c>
      <c r="G9" s="41" t="s">
        <v>1650</v>
      </c>
      <c r="N9" s="41">
        <v>25</v>
      </c>
      <c r="O9" s="76">
        <f t="shared" si="0"/>
        <v>4.0833333333333339</v>
      </c>
      <c r="Q9" s="43" t="s">
        <v>397</v>
      </c>
      <c r="R9" s="43" t="s">
        <v>398</v>
      </c>
    </row>
    <row r="10" spans="1:19" ht="30.6" x14ac:dyDescent="0.2">
      <c r="A10" s="41">
        <v>1</v>
      </c>
      <c r="B10" s="41">
        <v>657</v>
      </c>
      <c r="C10" s="84">
        <v>42462</v>
      </c>
      <c r="D10" s="41" t="s">
        <v>157</v>
      </c>
      <c r="E10" s="41" t="s">
        <v>532</v>
      </c>
      <c r="F10" s="41" t="s">
        <v>1650</v>
      </c>
      <c r="G10" s="41" t="s">
        <v>1650</v>
      </c>
      <c r="H10" s="41" t="s">
        <v>400</v>
      </c>
      <c r="N10" s="41">
        <v>40</v>
      </c>
      <c r="O10" s="76">
        <f t="shared" si="0"/>
        <v>4.7500000000000009</v>
      </c>
      <c r="Q10" s="43" t="s">
        <v>403</v>
      </c>
      <c r="R10" s="43" t="s">
        <v>398</v>
      </c>
    </row>
    <row r="11" spans="1:19" ht="61.2" x14ac:dyDescent="0.2">
      <c r="A11" s="41">
        <v>1</v>
      </c>
      <c r="B11" s="41">
        <v>658</v>
      </c>
      <c r="C11" s="84">
        <v>42462</v>
      </c>
      <c r="D11" s="41" t="s">
        <v>157</v>
      </c>
      <c r="E11" s="41" t="s">
        <v>532</v>
      </c>
      <c r="F11" s="41" t="s">
        <v>1650</v>
      </c>
      <c r="G11" s="41" t="s">
        <v>1650</v>
      </c>
      <c r="H11" s="41" t="s">
        <v>400</v>
      </c>
      <c r="N11" s="41">
        <v>100</v>
      </c>
      <c r="O11" s="76">
        <f t="shared" si="0"/>
        <v>6.4166666666666679</v>
      </c>
      <c r="Q11" s="43" t="s">
        <v>401</v>
      </c>
      <c r="R11" s="43">
        <v>2.4</v>
      </c>
      <c r="S11" s="41" t="s">
        <v>402</v>
      </c>
    </row>
    <row r="12" spans="1:19" ht="30.6" x14ac:dyDescent="0.2">
      <c r="A12" s="41">
        <v>1</v>
      </c>
      <c r="B12" s="41">
        <v>659</v>
      </c>
      <c r="C12" s="84">
        <v>42475</v>
      </c>
      <c r="D12" s="41" t="s">
        <v>157</v>
      </c>
      <c r="E12" s="41" t="s">
        <v>532</v>
      </c>
      <c r="F12" s="41" t="s">
        <v>1650</v>
      </c>
      <c r="G12" s="41" t="s">
        <v>1650</v>
      </c>
      <c r="H12" s="41" t="s">
        <v>404</v>
      </c>
      <c r="N12" s="41">
        <v>140</v>
      </c>
      <c r="O12" s="76">
        <f t="shared" si="0"/>
        <v>8.7500000000000018</v>
      </c>
      <c r="P12" s="41">
        <v>30</v>
      </c>
      <c r="Q12" s="43" t="s">
        <v>331</v>
      </c>
    </row>
    <row r="13" spans="1:19" ht="30.6" x14ac:dyDescent="0.2">
      <c r="A13" s="41">
        <v>1</v>
      </c>
      <c r="B13" s="41">
        <v>660</v>
      </c>
      <c r="C13" s="84">
        <v>42840</v>
      </c>
      <c r="D13" s="41" t="s">
        <v>157</v>
      </c>
      <c r="E13" s="41" t="s">
        <v>532</v>
      </c>
      <c r="F13" s="41" t="s">
        <v>1650</v>
      </c>
      <c r="G13" s="41" t="s">
        <v>1650</v>
      </c>
      <c r="H13" s="41" t="s">
        <v>404</v>
      </c>
      <c r="N13" s="41">
        <v>100</v>
      </c>
      <c r="O13" s="76">
        <f t="shared" si="0"/>
        <v>10.416666666666668</v>
      </c>
      <c r="Q13" s="43" t="s">
        <v>405</v>
      </c>
    </row>
    <row r="14" spans="1:19" x14ac:dyDescent="0.2">
      <c r="A14" s="41">
        <v>1</v>
      </c>
      <c r="B14" s="41">
        <v>661</v>
      </c>
      <c r="C14" s="84">
        <v>42841</v>
      </c>
      <c r="D14" s="41" t="s">
        <v>157</v>
      </c>
      <c r="E14" s="41" t="s">
        <v>532</v>
      </c>
      <c r="F14" s="41" t="s">
        <v>406</v>
      </c>
      <c r="G14" s="41" t="s">
        <v>406</v>
      </c>
      <c r="H14" s="41" t="s">
        <v>407</v>
      </c>
      <c r="N14" s="41">
        <v>15</v>
      </c>
      <c r="O14" s="76">
        <f t="shared" si="0"/>
        <v>10.666666666666668</v>
      </c>
      <c r="Q14" s="43" t="s">
        <v>408</v>
      </c>
    </row>
    <row r="15" spans="1:19" ht="20.399999999999999" x14ac:dyDescent="0.2">
      <c r="A15" s="41">
        <v>1</v>
      </c>
      <c r="B15" s="41">
        <v>662</v>
      </c>
      <c r="C15" s="84">
        <v>42842</v>
      </c>
      <c r="D15" s="41" t="s">
        <v>157</v>
      </c>
      <c r="E15" s="41" t="s">
        <v>532</v>
      </c>
      <c r="F15" s="41" t="s">
        <v>1650</v>
      </c>
      <c r="G15" s="41" t="s">
        <v>1650</v>
      </c>
      <c r="H15" s="41" t="s">
        <v>409</v>
      </c>
      <c r="M15" s="59">
        <v>0.5</v>
      </c>
      <c r="N15" s="41">
        <v>196</v>
      </c>
      <c r="O15" s="76">
        <f t="shared" si="0"/>
        <v>13.933333333333334</v>
      </c>
      <c r="Q15" s="43" t="s">
        <v>413</v>
      </c>
    </row>
    <row r="16" spans="1:19" x14ac:dyDescent="0.2">
      <c r="A16" s="41">
        <v>1</v>
      </c>
      <c r="B16" s="41">
        <v>663</v>
      </c>
      <c r="C16" s="84">
        <v>42842</v>
      </c>
      <c r="D16" s="41" t="s">
        <v>157</v>
      </c>
      <c r="E16" s="41" t="s">
        <v>532</v>
      </c>
      <c r="F16" s="41" t="s">
        <v>1650</v>
      </c>
      <c r="G16" s="41" t="s">
        <v>1650</v>
      </c>
      <c r="H16" s="41" t="s">
        <v>409</v>
      </c>
      <c r="M16" s="59">
        <v>0.47916666666666669</v>
      </c>
      <c r="N16" s="41">
        <v>12</v>
      </c>
      <c r="O16" s="76">
        <f t="shared" si="0"/>
        <v>14.133333333333333</v>
      </c>
    </row>
    <row r="17" spans="1:18" x14ac:dyDescent="0.2">
      <c r="A17" s="41">
        <v>1</v>
      </c>
      <c r="B17" s="41">
        <v>664</v>
      </c>
      <c r="C17" s="84">
        <v>42861</v>
      </c>
      <c r="D17" s="41" t="s">
        <v>157</v>
      </c>
      <c r="E17" s="41" t="s">
        <v>532</v>
      </c>
      <c r="F17" s="41" t="s">
        <v>1650</v>
      </c>
      <c r="G17" s="41" t="s">
        <v>1650</v>
      </c>
      <c r="H17" s="41" t="s">
        <v>410</v>
      </c>
      <c r="M17" s="59">
        <v>0.51527777777777783</v>
      </c>
      <c r="N17" s="41">
        <v>230</v>
      </c>
      <c r="O17" s="76">
        <f t="shared" si="0"/>
        <v>17.966666666666665</v>
      </c>
    </row>
    <row r="18" spans="1:18" x14ac:dyDescent="0.2">
      <c r="A18" s="41">
        <v>1</v>
      </c>
      <c r="B18" s="41">
        <v>665</v>
      </c>
      <c r="C18" s="84">
        <v>42862</v>
      </c>
      <c r="D18" s="41" t="s">
        <v>157</v>
      </c>
      <c r="E18" s="41" t="s">
        <v>532</v>
      </c>
      <c r="F18" s="41" t="s">
        <v>1650</v>
      </c>
      <c r="G18" s="41" t="s">
        <v>1650</v>
      </c>
      <c r="H18" s="41" t="s">
        <v>410</v>
      </c>
      <c r="M18" s="59">
        <v>0.60416666666666663</v>
      </c>
      <c r="N18" s="41">
        <v>30</v>
      </c>
      <c r="O18" s="76">
        <f t="shared" si="0"/>
        <v>18.466666666666665</v>
      </c>
    </row>
    <row r="19" spans="1:18" x14ac:dyDescent="0.2">
      <c r="A19" s="41">
        <v>1</v>
      </c>
      <c r="B19" s="41">
        <v>666</v>
      </c>
      <c r="C19" s="84">
        <v>42497</v>
      </c>
      <c r="D19" s="41" t="s">
        <v>157</v>
      </c>
      <c r="E19" s="41" t="s">
        <v>532</v>
      </c>
      <c r="F19" s="41" t="s">
        <v>1650</v>
      </c>
      <c r="G19" s="41" t="s">
        <v>1650</v>
      </c>
      <c r="H19" s="41" t="s">
        <v>410</v>
      </c>
      <c r="M19" s="59">
        <v>0.49305555555555558</v>
      </c>
      <c r="N19" s="41">
        <v>9</v>
      </c>
      <c r="O19" s="76">
        <f t="shared" si="0"/>
        <v>18.616666666666664</v>
      </c>
    </row>
    <row r="20" spans="1:18" x14ac:dyDescent="0.2">
      <c r="A20" s="41">
        <v>1</v>
      </c>
      <c r="B20" s="41">
        <v>667</v>
      </c>
      <c r="C20" s="84">
        <v>42497</v>
      </c>
      <c r="D20" s="41" t="s">
        <v>157</v>
      </c>
      <c r="E20" s="41" t="s">
        <v>532</v>
      </c>
      <c r="F20" s="41" t="s">
        <v>1650</v>
      </c>
      <c r="G20" s="41" t="s">
        <v>1650</v>
      </c>
      <c r="H20" s="41" t="s">
        <v>412</v>
      </c>
      <c r="M20" s="59">
        <v>0.53402777777777777</v>
      </c>
      <c r="N20" s="41">
        <v>60</v>
      </c>
      <c r="O20" s="76">
        <f t="shared" si="0"/>
        <v>19.616666666666664</v>
      </c>
    </row>
    <row r="21" spans="1:18" ht="91.8" x14ac:dyDescent="0.2">
      <c r="A21" s="41">
        <v>1</v>
      </c>
      <c r="B21" s="41">
        <v>668</v>
      </c>
      <c r="C21" s="84">
        <v>42505</v>
      </c>
      <c r="D21" s="41" t="s">
        <v>157</v>
      </c>
      <c r="E21" s="41" t="s">
        <v>337</v>
      </c>
      <c r="F21" s="41" t="s">
        <v>338</v>
      </c>
      <c r="G21" s="41" t="s">
        <v>338</v>
      </c>
      <c r="H21" s="41" t="s">
        <v>339</v>
      </c>
      <c r="M21" s="59">
        <v>16</v>
      </c>
      <c r="N21" s="41">
        <v>67</v>
      </c>
      <c r="O21" s="76">
        <f t="shared" si="0"/>
        <v>20.733333333333331</v>
      </c>
      <c r="Q21" s="43" t="s">
        <v>156</v>
      </c>
    </row>
    <row r="22" spans="1:18" x14ac:dyDescent="0.2">
      <c r="A22" s="41">
        <v>1</v>
      </c>
      <c r="B22" s="41">
        <v>669</v>
      </c>
      <c r="C22" s="84">
        <v>42506</v>
      </c>
      <c r="D22" s="41" t="s">
        <v>157</v>
      </c>
      <c r="E22" s="41" t="s">
        <v>337</v>
      </c>
      <c r="F22" s="41" t="s">
        <v>338</v>
      </c>
      <c r="G22" s="41" t="s">
        <v>338</v>
      </c>
      <c r="M22" s="59">
        <v>15</v>
      </c>
      <c r="N22" s="41">
        <v>8</v>
      </c>
      <c r="O22" s="76">
        <f t="shared" si="0"/>
        <v>20.866666666666664</v>
      </c>
      <c r="Q22" s="43" t="s">
        <v>340</v>
      </c>
    </row>
    <row r="23" spans="1:18" ht="20.399999999999999" x14ac:dyDescent="0.2">
      <c r="A23" s="41">
        <v>1</v>
      </c>
      <c r="B23" s="41">
        <v>670</v>
      </c>
      <c r="C23" s="84">
        <v>42518</v>
      </c>
      <c r="D23" s="41" t="s">
        <v>157</v>
      </c>
      <c r="E23" s="41" t="s">
        <v>158</v>
      </c>
      <c r="F23" s="41" t="s">
        <v>1613</v>
      </c>
      <c r="G23" s="41" t="s">
        <v>1613</v>
      </c>
      <c r="H23" s="41" t="s">
        <v>159</v>
      </c>
      <c r="M23" s="59">
        <v>0.69652777777777775</v>
      </c>
      <c r="N23" s="41">
        <v>30</v>
      </c>
      <c r="O23" s="76">
        <f t="shared" si="0"/>
        <v>21.366666666666664</v>
      </c>
      <c r="Q23" s="43" t="s">
        <v>162</v>
      </c>
    </row>
    <row r="24" spans="1:18" x14ac:dyDescent="0.2">
      <c r="A24" s="41">
        <v>1</v>
      </c>
      <c r="B24" s="41">
        <v>671</v>
      </c>
      <c r="C24" s="84">
        <v>42523</v>
      </c>
      <c r="D24" s="41" t="s">
        <v>157</v>
      </c>
      <c r="E24" s="41" t="s">
        <v>158</v>
      </c>
      <c r="F24" s="41" t="s">
        <v>1404</v>
      </c>
      <c r="G24" s="41" t="s">
        <v>1404</v>
      </c>
      <c r="H24" s="41" t="s">
        <v>163</v>
      </c>
      <c r="M24" s="59">
        <v>0.4826388888888889</v>
      </c>
      <c r="N24" s="41">
        <v>36</v>
      </c>
      <c r="O24" s="76">
        <f t="shared" si="0"/>
        <v>21.966666666666665</v>
      </c>
      <c r="Q24" s="43" t="s">
        <v>164</v>
      </c>
    </row>
    <row r="25" spans="1:18" ht="20.399999999999999" x14ac:dyDescent="0.2">
      <c r="A25" s="41">
        <v>1</v>
      </c>
      <c r="B25" s="41">
        <v>672</v>
      </c>
      <c r="C25" s="84">
        <v>42524</v>
      </c>
      <c r="D25" s="41" t="s">
        <v>157</v>
      </c>
      <c r="E25" s="41" t="s">
        <v>158</v>
      </c>
      <c r="F25" s="41" t="s">
        <v>1404</v>
      </c>
      <c r="G25" s="41" t="s">
        <v>1404</v>
      </c>
      <c r="H25" s="41" t="s">
        <v>160</v>
      </c>
      <c r="M25" s="59">
        <v>0.47916666666666669</v>
      </c>
      <c r="N25" s="41">
        <v>39</v>
      </c>
      <c r="O25" s="76">
        <f t="shared" si="0"/>
        <v>22.616666666666664</v>
      </c>
      <c r="P25" s="41">
        <v>15</v>
      </c>
      <c r="Q25" s="43" t="s">
        <v>165</v>
      </c>
      <c r="R25" s="43" t="s">
        <v>166</v>
      </c>
    </row>
    <row r="26" spans="1:18" ht="30.6" x14ac:dyDescent="0.2">
      <c r="A26" s="41">
        <v>1</v>
      </c>
      <c r="B26" s="41">
        <v>673</v>
      </c>
      <c r="C26" s="84">
        <v>42525</v>
      </c>
      <c r="D26" s="41" t="s">
        <v>157</v>
      </c>
      <c r="E26" s="41" t="s">
        <v>158</v>
      </c>
      <c r="F26" s="41" t="s">
        <v>1404</v>
      </c>
      <c r="G26" s="41" t="s">
        <v>1404</v>
      </c>
      <c r="H26" s="41" t="s">
        <v>161</v>
      </c>
      <c r="M26" s="59">
        <v>0.45833333333333331</v>
      </c>
      <c r="N26" s="41">
        <v>39</v>
      </c>
      <c r="O26" s="76">
        <f t="shared" si="0"/>
        <v>23.266666666666662</v>
      </c>
      <c r="Q26" s="43" t="s">
        <v>167</v>
      </c>
      <c r="R26" s="43" t="s">
        <v>168</v>
      </c>
    </row>
    <row r="27" spans="1:18" x14ac:dyDescent="0.2">
      <c r="B27" s="41">
        <v>674</v>
      </c>
      <c r="C27" s="84">
        <v>42533</v>
      </c>
      <c r="D27" s="41" t="s">
        <v>157</v>
      </c>
      <c r="E27" s="41" t="s">
        <v>169</v>
      </c>
      <c r="F27" s="41" t="s">
        <v>406</v>
      </c>
      <c r="G27" s="41" t="s">
        <v>406</v>
      </c>
      <c r="H27" s="41" t="s">
        <v>171</v>
      </c>
      <c r="N27" s="41">
        <v>0</v>
      </c>
      <c r="O27" s="76">
        <f t="shared" si="0"/>
        <v>23.266666666666662</v>
      </c>
      <c r="Q27" s="43" t="s">
        <v>172</v>
      </c>
      <c r="R27" s="43" t="s">
        <v>174</v>
      </c>
    </row>
    <row r="28" spans="1:18" ht="51" x14ac:dyDescent="0.2">
      <c r="A28" s="41">
        <v>1</v>
      </c>
      <c r="B28" s="41">
        <v>675</v>
      </c>
      <c r="C28" s="84">
        <v>42540</v>
      </c>
      <c r="D28" s="41" t="s">
        <v>157</v>
      </c>
      <c r="E28" s="41" t="s">
        <v>169</v>
      </c>
      <c r="F28" s="41" t="s">
        <v>406</v>
      </c>
      <c r="G28" s="41" t="s">
        <v>406</v>
      </c>
      <c r="H28" s="41" t="s">
        <v>170</v>
      </c>
      <c r="M28" s="59">
        <v>0.66666666666666663</v>
      </c>
      <c r="N28" s="41">
        <v>15</v>
      </c>
      <c r="O28" s="76">
        <f t="shared" si="0"/>
        <v>23.516666666666662</v>
      </c>
      <c r="Q28" s="43" t="s">
        <v>175</v>
      </c>
      <c r="R28" s="43" t="s">
        <v>173</v>
      </c>
    </row>
    <row r="29" spans="1:18" ht="51" x14ac:dyDescent="0.2">
      <c r="A29" s="41">
        <v>1</v>
      </c>
      <c r="B29" s="41">
        <v>676</v>
      </c>
      <c r="C29" s="84">
        <v>42542</v>
      </c>
      <c r="D29" s="41" t="s">
        <v>157</v>
      </c>
      <c r="E29" s="41" t="s">
        <v>532</v>
      </c>
      <c r="F29" s="41" t="s">
        <v>1650</v>
      </c>
      <c r="G29" s="41" t="s">
        <v>1650</v>
      </c>
      <c r="H29" s="41" t="s">
        <v>176</v>
      </c>
      <c r="M29" s="59">
        <v>0.47916666666666669</v>
      </c>
      <c r="N29" s="41">
        <v>115</v>
      </c>
      <c r="O29" s="76">
        <f t="shared" si="0"/>
        <v>25.43333333333333</v>
      </c>
      <c r="Q29" s="43" t="s">
        <v>177</v>
      </c>
    </row>
    <row r="30" spans="1:18" ht="61.2" x14ac:dyDescent="0.2">
      <c r="A30" s="41">
        <v>1</v>
      </c>
      <c r="B30" s="41">
        <v>677</v>
      </c>
      <c r="C30" s="84">
        <v>42549</v>
      </c>
      <c r="D30" s="41" t="s">
        <v>157</v>
      </c>
      <c r="E30" s="41" t="s">
        <v>532</v>
      </c>
      <c r="F30" s="41" t="s">
        <v>1650</v>
      </c>
      <c r="G30" s="41" t="s">
        <v>1650</v>
      </c>
      <c r="H30" s="41" t="s">
        <v>176</v>
      </c>
      <c r="M30" s="59">
        <v>0.51388888888888895</v>
      </c>
      <c r="N30" s="41">
        <v>148</v>
      </c>
      <c r="O30" s="76">
        <f t="shared" si="0"/>
        <v>27.9</v>
      </c>
      <c r="Q30" s="43" t="s">
        <v>178</v>
      </c>
    </row>
    <row r="31" spans="1:18" ht="81.599999999999994" x14ac:dyDescent="0.2">
      <c r="A31" s="41">
        <v>1</v>
      </c>
      <c r="B31" s="41">
        <v>678</v>
      </c>
      <c r="C31" s="84">
        <v>42549</v>
      </c>
      <c r="D31" s="41" t="s">
        <v>157</v>
      </c>
      <c r="E31" s="41" t="s">
        <v>532</v>
      </c>
      <c r="F31" s="41" t="s">
        <v>1650</v>
      </c>
      <c r="G31" s="41" t="s">
        <v>1650</v>
      </c>
      <c r="H31" s="41" t="s">
        <v>176</v>
      </c>
      <c r="M31" s="59">
        <v>0.71875</v>
      </c>
      <c r="N31" s="41">
        <v>78</v>
      </c>
      <c r="O31" s="76">
        <f t="shared" si="0"/>
        <v>29.2</v>
      </c>
      <c r="Q31" s="43" t="s">
        <v>179</v>
      </c>
    </row>
    <row r="32" spans="1:18" ht="91.8" x14ac:dyDescent="0.2">
      <c r="A32" s="41">
        <v>1</v>
      </c>
      <c r="B32" s="41">
        <v>679</v>
      </c>
      <c r="C32" s="84">
        <v>42554</v>
      </c>
      <c r="D32" s="41" t="s">
        <v>157</v>
      </c>
      <c r="E32" s="41" t="s">
        <v>532</v>
      </c>
      <c r="F32" s="41" t="s">
        <v>1650</v>
      </c>
      <c r="G32" s="41" t="s">
        <v>1650</v>
      </c>
      <c r="H32" s="41" t="s">
        <v>180</v>
      </c>
      <c r="M32" s="59">
        <v>0.625</v>
      </c>
      <c r="N32" s="41">
        <v>90</v>
      </c>
      <c r="O32" s="76">
        <f t="shared" si="0"/>
        <v>30.7</v>
      </c>
      <c r="Q32" s="43" t="s">
        <v>181</v>
      </c>
    </row>
    <row r="33" spans="1:18" ht="91.8" x14ac:dyDescent="0.2">
      <c r="A33" s="41">
        <v>1</v>
      </c>
      <c r="B33" s="41">
        <v>680</v>
      </c>
      <c r="C33" s="84">
        <v>42588</v>
      </c>
      <c r="D33" s="41" t="s">
        <v>157</v>
      </c>
      <c r="E33" s="41" t="s">
        <v>532</v>
      </c>
      <c r="F33" s="41" t="s">
        <v>1650</v>
      </c>
      <c r="G33" s="41" t="s">
        <v>1650</v>
      </c>
      <c r="H33" s="41" t="s">
        <v>183</v>
      </c>
      <c r="K33" s="41">
        <v>1600</v>
      </c>
      <c r="N33" s="41">
        <v>90</v>
      </c>
      <c r="O33" s="76">
        <f t="shared" si="0"/>
        <v>32.200000000000003</v>
      </c>
      <c r="Q33" s="43" t="s">
        <v>184</v>
      </c>
    </row>
    <row r="34" spans="1:18" ht="51" x14ac:dyDescent="0.2">
      <c r="A34" s="41">
        <v>1</v>
      </c>
      <c r="B34" s="41">
        <v>681</v>
      </c>
      <c r="C34" s="84">
        <v>42589</v>
      </c>
      <c r="D34" s="41" t="s">
        <v>157</v>
      </c>
      <c r="E34" s="41" t="s">
        <v>532</v>
      </c>
      <c r="F34" s="41" t="s">
        <v>1650</v>
      </c>
      <c r="G34" s="41" t="s">
        <v>1650</v>
      </c>
      <c r="H34" s="41" t="s">
        <v>661</v>
      </c>
      <c r="M34" s="59">
        <v>0.46249999999999997</v>
      </c>
      <c r="N34" s="41">
        <v>230</v>
      </c>
      <c r="O34" s="76">
        <f t="shared" si="0"/>
        <v>36.033333333333339</v>
      </c>
      <c r="Q34" s="43" t="s">
        <v>186</v>
      </c>
      <c r="R34" s="43" t="s">
        <v>187</v>
      </c>
    </row>
    <row r="35" spans="1:18" ht="61.2" x14ac:dyDescent="0.2">
      <c r="A35" s="41">
        <v>1</v>
      </c>
      <c r="B35" s="41">
        <v>682</v>
      </c>
      <c r="C35" s="84">
        <v>42590</v>
      </c>
      <c r="D35" s="41" t="s">
        <v>157</v>
      </c>
      <c r="E35" s="41" t="s">
        <v>532</v>
      </c>
      <c r="F35" s="41" t="s">
        <v>1650</v>
      </c>
      <c r="G35" s="41" t="s">
        <v>1650</v>
      </c>
      <c r="H35" s="41" t="s">
        <v>661</v>
      </c>
      <c r="N35" s="41">
        <v>10</v>
      </c>
      <c r="O35" s="76">
        <f t="shared" si="0"/>
        <v>36.200000000000003</v>
      </c>
      <c r="Q35" s="43" t="s">
        <v>182</v>
      </c>
      <c r="R35" s="43" t="s">
        <v>185</v>
      </c>
    </row>
    <row r="36" spans="1:18" ht="40.799999999999997" x14ac:dyDescent="0.2">
      <c r="A36" s="41">
        <v>1</v>
      </c>
      <c r="B36" s="41">
        <v>683</v>
      </c>
      <c r="C36" s="84">
        <v>42590</v>
      </c>
      <c r="D36" s="41" t="s">
        <v>157</v>
      </c>
      <c r="E36" s="41" t="s">
        <v>532</v>
      </c>
      <c r="F36" s="41" t="s">
        <v>1650</v>
      </c>
      <c r="G36" s="41" t="s">
        <v>1650</v>
      </c>
      <c r="H36" s="41" t="s">
        <v>661</v>
      </c>
      <c r="M36" s="59">
        <v>0.54166666666666663</v>
      </c>
      <c r="N36" s="41">
        <v>70</v>
      </c>
      <c r="O36" s="76">
        <f t="shared" ref="O36:O63" si="1">(O35+N36/60)</f>
        <v>37.366666666666667</v>
      </c>
      <c r="Q36" s="43" t="s">
        <v>188</v>
      </c>
      <c r="R36" s="43" t="s">
        <v>189</v>
      </c>
    </row>
    <row r="37" spans="1:18" ht="91.8" x14ac:dyDescent="0.2">
      <c r="A37" s="41">
        <v>1</v>
      </c>
      <c r="B37" s="41">
        <v>684</v>
      </c>
      <c r="C37" s="84">
        <v>42593</v>
      </c>
      <c r="D37" s="41" t="s">
        <v>157</v>
      </c>
      <c r="E37" s="41" t="s">
        <v>532</v>
      </c>
      <c r="F37" s="41" t="s">
        <v>1650</v>
      </c>
      <c r="G37" s="41" t="s">
        <v>1650</v>
      </c>
      <c r="H37" s="41" t="s">
        <v>190</v>
      </c>
      <c r="K37" s="41">
        <v>1390</v>
      </c>
      <c r="M37" s="59">
        <v>0.57638888888888895</v>
      </c>
      <c r="N37" s="41">
        <v>45</v>
      </c>
      <c r="O37" s="76">
        <f t="shared" si="1"/>
        <v>38.116666666666667</v>
      </c>
      <c r="Q37" s="43" t="s">
        <v>191</v>
      </c>
    </row>
    <row r="38" spans="1:18" ht="81.599999999999994" x14ac:dyDescent="0.2">
      <c r="A38" s="41">
        <v>1</v>
      </c>
      <c r="B38" s="41">
        <v>685</v>
      </c>
      <c r="C38" s="84">
        <v>42593</v>
      </c>
      <c r="D38" s="41" t="s">
        <v>157</v>
      </c>
      <c r="E38" s="41" t="s">
        <v>532</v>
      </c>
      <c r="F38" s="41" t="s">
        <v>1650</v>
      </c>
      <c r="G38" s="41" t="s">
        <v>1650</v>
      </c>
      <c r="H38" s="41" t="s">
        <v>190</v>
      </c>
      <c r="K38" s="41">
        <v>1840</v>
      </c>
      <c r="M38" s="59">
        <v>0.6875</v>
      </c>
      <c r="N38" s="41">
        <v>75</v>
      </c>
      <c r="O38" s="76">
        <f t="shared" si="1"/>
        <v>39.366666666666667</v>
      </c>
      <c r="Q38" s="43" t="s">
        <v>192</v>
      </c>
    </row>
    <row r="39" spans="1:18" ht="20.399999999999999" x14ac:dyDescent="0.2">
      <c r="A39" s="41">
        <v>1</v>
      </c>
      <c r="B39" s="41">
        <v>686</v>
      </c>
      <c r="C39" s="84">
        <v>42595</v>
      </c>
      <c r="D39" s="41" t="s">
        <v>157</v>
      </c>
      <c r="E39" s="41" t="s">
        <v>532</v>
      </c>
      <c r="F39" s="41" t="s">
        <v>193</v>
      </c>
      <c r="G39" s="41" t="s">
        <v>193</v>
      </c>
      <c r="H39" s="41" t="s">
        <v>194</v>
      </c>
      <c r="M39" s="59">
        <v>0.64583333333333337</v>
      </c>
      <c r="N39" s="41">
        <v>35</v>
      </c>
      <c r="O39" s="76">
        <f t="shared" si="1"/>
        <v>39.950000000000003</v>
      </c>
      <c r="Q39" s="43" t="s">
        <v>198</v>
      </c>
    </row>
    <row r="40" spans="1:18" ht="30.6" x14ac:dyDescent="0.2">
      <c r="A40" s="41">
        <v>1</v>
      </c>
      <c r="B40" s="41">
        <v>687</v>
      </c>
      <c r="C40" s="84">
        <v>42595</v>
      </c>
      <c r="D40" s="41" t="s">
        <v>157</v>
      </c>
      <c r="E40" s="41" t="s">
        <v>532</v>
      </c>
      <c r="F40" s="41" t="s">
        <v>193</v>
      </c>
      <c r="G40" s="41" t="s">
        <v>193</v>
      </c>
      <c r="H40" s="41" t="s">
        <v>194</v>
      </c>
      <c r="M40" s="59">
        <v>0.70486111111111116</v>
      </c>
      <c r="N40" s="41">
        <v>55</v>
      </c>
      <c r="O40" s="76">
        <f t="shared" si="1"/>
        <v>40.866666666666667</v>
      </c>
      <c r="Q40" s="43" t="s">
        <v>199</v>
      </c>
    </row>
    <row r="41" spans="1:18" ht="20.399999999999999" x14ac:dyDescent="0.2">
      <c r="A41" s="41">
        <v>1</v>
      </c>
      <c r="B41" s="41">
        <v>688</v>
      </c>
      <c r="C41" s="84">
        <v>42596</v>
      </c>
      <c r="D41" s="41" t="s">
        <v>157</v>
      </c>
      <c r="E41" s="41" t="s">
        <v>532</v>
      </c>
      <c r="F41" s="41" t="s">
        <v>1650</v>
      </c>
      <c r="G41" s="41" t="s">
        <v>1650</v>
      </c>
      <c r="H41" s="41" t="s">
        <v>195</v>
      </c>
      <c r="M41" s="59">
        <v>0.54861111111111105</v>
      </c>
      <c r="N41" s="41">
        <v>38</v>
      </c>
      <c r="O41" s="76">
        <f t="shared" si="1"/>
        <v>41.5</v>
      </c>
      <c r="Q41" s="43" t="s">
        <v>201</v>
      </c>
    </row>
    <row r="42" spans="1:18" x14ac:dyDescent="0.2">
      <c r="A42" s="41">
        <v>1</v>
      </c>
      <c r="B42" s="41">
        <v>689</v>
      </c>
      <c r="C42" s="84">
        <v>42596</v>
      </c>
      <c r="D42" s="41" t="s">
        <v>157</v>
      </c>
      <c r="E42" s="41" t="s">
        <v>532</v>
      </c>
      <c r="F42" s="41" t="s">
        <v>1650</v>
      </c>
      <c r="G42" s="41" t="s">
        <v>1650</v>
      </c>
      <c r="H42" s="41" t="s">
        <v>195</v>
      </c>
      <c r="M42" s="59">
        <v>0.625</v>
      </c>
      <c r="N42" s="41">
        <v>20</v>
      </c>
      <c r="O42" s="76">
        <f t="shared" si="1"/>
        <v>41.833333333333336</v>
      </c>
      <c r="Q42" s="43" t="s">
        <v>200</v>
      </c>
    </row>
    <row r="43" spans="1:18" ht="20.399999999999999" x14ac:dyDescent="0.2">
      <c r="A43" s="41">
        <v>1</v>
      </c>
      <c r="B43" s="41">
        <v>690</v>
      </c>
      <c r="C43" s="84">
        <v>42596</v>
      </c>
      <c r="D43" s="41" t="s">
        <v>157</v>
      </c>
      <c r="E43" s="41" t="s">
        <v>532</v>
      </c>
      <c r="F43" s="41" t="s">
        <v>1650</v>
      </c>
      <c r="G43" s="41" t="s">
        <v>1650</v>
      </c>
      <c r="H43" s="41" t="s">
        <v>195</v>
      </c>
      <c r="M43" s="59">
        <v>0.68055555555555547</v>
      </c>
      <c r="N43" s="41">
        <v>12</v>
      </c>
      <c r="O43" s="76">
        <f t="shared" si="1"/>
        <v>42.033333333333339</v>
      </c>
      <c r="Q43" s="43" t="s">
        <v>202</v>
      </c>
      <c r="R43" s="43" t="s">
        <v>203</v>
      </c>
    </row>
    <row r="44" spans="1:18" ht="71.400000000000006" x14ac:dyDescent="0.2">
      <c r="A44" s="41">
        <v>1</v>
      </c>
      <c r="B44" s="41">
        <v>691</v>
      </c>
      <c r="C44" s="84">
        <v>42597</v>
      </c>
      <c r="D44" s="41" t="s">
        <v>157</v>
      </c>
      <c r="E44" s="41" t="s">
        <v>532</v>
      </c>
      <c r="F44" s="41" t="s">
        <v>1650</v>
      </c>
      <c r="G44" s="41" t="s">
        <v>1650</v>
      </c>
      <c r="H44" s="41" t="s">
        <v>196</v>
      </c>
      <c r="K44" s="41">
        <v>1590</v>
      </c>
      <c r="M44" s="59">
        <v>0.55069444444444449</v>
      </c>
      <c r="N44" s="41">
        <v>85</v>
      </c>
      <c r="O44" s="76">
        <f t="shared" si="1"/>
        <v>43.45</v>
      </c>
      <c r="Q44" s="43" t="s">
        <v>204</v>
      </c>
      <c r="R44" s="43" t="s">
        <v>206</v>
      </c>
    </row>
    <row r="45" spans="1:18" ht="20.399999999999999" x14ac:dyDescent="0.2">
      <c r="A45" s="41">
        <v>1</v>
      </c>
      <c r="B45" s="41">
        <v>692</v>
      </c>
      <c r="C45" s="84">
        <v>42603</v>
      </c>
      <c r="D45" s="41" t="s">
        <v>157</v>
      </c>
      <c r="E45" s="41" t="s">
        <v>532</v>
      </c>
      <c r="F45" s="41" t="s">
        <v>406</v>
      </c>
      <c r="G45" s="41" t="s">
        <v>406</v>
      </c>
      <c r="H45" s="41" t="s">
        <v>207</v>
      </c>
      <c r="N45" s="41">
        <v>2</v>
      </c>
      <c r="O45" s="76">
        <f t="shared" si="1"/>
        <v>43.483333333333334</v>
      </c>
      <c r="Q45" s="43" t="s">
        <v>208</v>
      </c>
    </row>
    <row r="46" spans="1:18" x14ac:dyDescent="0.2">
      <c r="A46" s="41">
        <v>1</v>
      </c>
      <c r="B46" s="41">
        <v>693</v>
      </c>
      <c r="C46" s="84">
        <v>42603</v>
      </c>
      <c r="D46" s="41" t="s">
        <v>157</v>
      </c>
      <c r="E46" s="41" t="s">
        <v>532</v>
      </c>
      <c r="F46" s="41" t="s">
        <v>406</v>
      </c>
      <c r="G46" s="41" t="s">
        <v>406</v>
      </c>
      <c r="H46" s="41" t="s">
        <v>207</v>
      </c>
      <c r="N46" s="41">
        <v>5</v>
      </c>
      <c r="O46" s="76">
        <f t="shared" si="1"/>
        <v>43.56666666666667</v>
      </c>
    </row>
    <row r="47" spans="1:18" x14ac:dyDescent="0.2">
      <c r="A47" s="41">
        <v>1</v>
      </c>
      <c r="B47" s="41">
        <v>694</v>
      </c>
      <c r="C47" s="84">
        <v>42603</v>
      </c>
      <c r="D47" s="41" t="s">
        <v>157</v>
      </c>
      <c r="E47" s="41" t="s">
        <v>532</v>
      </c>
      <c r="F47" s="41" t="s">
        <v>406</v>
      </c>
      <c r="G47" s="41" t="s">
        <v>406</v>
      </c>
      <c r="H47" s="41" t="s">
        <v>207</v>
      </c>
      <c r="N47" s="41">
        <v>5</v>
      </c>
      <c r="O47" s="76">
        <f t="shared" si="1"/>
        <v>43.650000000000006</v>
      </c>
    </row>
    <row r="48" spans="1:18" ht="51" x14ac:dyDescent="0.2">
      <c r="A48" s="41">
        <v>1</v>
      </c>
      <c r="B48" s="41">
        <v>695</v>
      </c>
      <c r="C48" s="84">
        <v>42609</v>
      </c>
      <c r="D48" s="41" t="s">
        <v>157</v>
      </c>
      <c r="E48" s="41" t="s">
        <v>532</v>
      </c>
      <c r="F48" s="41" t="s">
        <v>1650</v>
      </c>
      <c r="G48" s="41" t="s">
        <v>1650</v>
      </c>
      <c r="H48" s="41" t="s">
        <v>210</v>
      </c>
      <c r="M48" s="59">
        <v>0.66666666666666663</v>
      </c>
      <c r="N48" s="41">
        <v>60</v>
      </c>
      <c r="O48" s="76">
        <f t="shared" si="1"/>
        <v>44.650000000000006</v>
      </c>
      <c r="Q48" s="43" t="s">
        <v>211</v>
      </c>
      <c r="R48" s="43" t="s">
        <v>212</v>
      </c>
    </row>
    <row r="49" spans="1:18" ht="61.2" x14ac:dyDescent="0.2">
      <c r="A49" s="41">
        <v>1</v>
      </c>
      <c r="B49" s="41">
        <v>696</v>
      </c>
      <c r="C49" s="84">
        <v>42613</v>
      </c>
      <c r="D49" s="41" t="s">
        <v>157</v>
      </c>
      <c r="E49" s="41" t="s">
        <v>532</v>
      </c>
      <c r="F49" s="41" t="s">
        <v>1650</v>
      </c>
      <c r="G49" s="41" t="s">
        <v>1650</v>
      </c>
      <c r="N49" s="41">
        <v>35</v>
      </c>
      <c r="O49" s="76">
        <f t="shared" si="1"/>
        <v>45.233333333333341</v>
      </c>
      <c r="Q49" s="43" t="s">
        <v>219</v>
      </c>
      <c r="R49" s="43" t="s">
        <v>214</v>
      </c>
    </row>
    <row r="50" spans="1:18" ht="51" x14ac:dyDescent="0.2">
      <c r="A50" s="41">
        <v>1</v>
      </c>
      <c r="B50" s="41">
        <v>697</v>
      </c>
      <c r="C50" s="84">
        <v>42613</v>
      </c>
      <c r="D50" s="41" t="s">
        <v>157</v>
      </c>
      <c r="E50" s="41" t="s">
        <v>532</v>
      </c>
      <c r="F50" s="41" t="s">
        <v>1650</v>
      </c>
      <c r="G50" s="41" t="s">
        <v>1650</v>
      </c>
      <c r="N50" s="41">
        <v>55</v>
      </c>
      <c r="O50" s="76">
        <f t="shared" si="1"/>
        <v>46.150000000000006</v>
      </c>
      <c r="Q50" s="43" t="s">
        <v>213</v>
      </c>
      <c r="R50" s="43" t="s">
        <v>215</v>
      </c>
    </row>
    <row r="51" spans="1:18" ht="153" x14ac:dyDescent="0.2">
      <c r="A51" s="41">
        <v>1</v>
      </c>
      <c r="B51" s="41">
        <v>698</v>
      </c>
      <c r="C51" s="84">
        <v>42623</v>
      </c>
      <c r="D51" s="41" t="s">
        <v>157</v>
      </c>
      <c r="E51" s="41" t="s">
        <v>532</v>
      </c>
      <c r="F51" s="41" t="s">
        <v>574</v>
      </c>
      <c r="G51" s="41" t="s">
        <v>574</v>
      </c>
      <c r="H51" s="41" t="s">
        <v>216</v>
      </c>
      <c r="K51" s="41">
        <v>1960</v>
      </c>
      <c r="M51" s="59">
        <v>0.45277777777777778</v>
      </c>
      <c r="N51" s="41">
        <v>155</v>
      </c>
      <c r="O51" s="76">
        <f t="shared" si="1"/>
        <v>48.733333333333341</v>
      </c>
      <c r="P51" s="41">
        <v>30</v>
      </c>
      <c r="Q51" s="43" t="s">
        <v>220</v>
      </c>
      <c r="R51" s="43" t="s">
        <v>217</v>
      </c>
    </row>
    <row r="52" spans="1:18" ht="204" x14ac:dyDescent="0.2">
      <c r="A52" s="41">
        <v>1</v>
      </c>
      <c r="B52" s="41">
        <v>699</v>
      </c>
      <c r="C52" s="84">
        <v>42624</v>
      </c>
      <c r="D52" s="41" t="s">
        <v>157</v>
      </c>
      <c r="E52" s="41" t="s">
        <v>532</v>
      </c>
      <c r="F52" s="41" t="s">
        <v>574</v>
      </c>
      <c r="G52" s="41" t="s">
        <v>574</v>
      </c>
      <c r="H52" s="41" t="s">
        <v>216</v>
      </c>
      <c r="K52" s="41">
        <v>2500</v>
      </c>
      <c r="M52" s="59">
        <v>0.48055555555555557</v>
      </c>
      <c r="N52" s="41">
        <v>180</v>
      </c>
      <c r="O52" s="76">
        <f t="shared" si="1"/>
        <v>51.733333333333341</v>
      </c>
      <c r="P52" s="41">
        <v>25</v>
      </c>
      <c r="Q52" s="43" t="s">
        <v>221</v>
      </c>
      <c r="R52" s="43" t="s">
        <v>218</v>
      </c>
    </row>
    <row r="53" spans="1:18" ht="81.599999999999994" x14ac:dyDescent="0.2">
      <c r="A53" s="41">
        <v>1</v>
      </c>
      <c r="B53" s="41">
        <v>700</v>
      </c>
      <c r="C53" s="84">
        <v>42637</v>
      </c>
      <c r="D53" s="41" t="s">
        <v>157</v>
      </c>
      <c r="E53" s="41" t="s">
        <v>532</v>
      </c>
      <c r="F53" s="41" t="s">
        <v>1550</v>
      </c>
      <c r="G53" s="41" t="s">
        <v>1550</v>
      </c>
      <c r="H53" s="41" t="s">
        <v>222</v>
      </c>
      <c r="K53" s="41">
        <v>3000</v>
      </c>
      <c r="M53" s="59">
        <v>0.51111111111111118</v>
      </c>
      <c r="N53" s="41">
        <v>120</v>
      </c>
      <c r="O53" s="76">
        <f t="shared" si="1"/>
        <v>53.733333333333341</v>
      </c>
      <c r="P53" s="41">
        <v>30</v>
      </c>
      <c r="Q53" s="43" t="s">
        <v>223</v>
      </c>
    </row>
    <row r="54" spans="1:18" ht="153" x14ac:dyDescent="0.2">
      <c r="A54" s="41">
        <v>1</v>
      </c>
      <c r="B54" s="41">
        <v>701</v>
      </c>
      <c r="C54" s="84">
        <v>42637</v>
      </c>
      <c r="D54" s="41" t="s">
        <v>157</v>
      </c>
      <c r="E54" s="41" t="s">
        <v>532</v>
      </c>
      <c r="F54" s="41" t="s">
        <v>1550</v>
      </c>
      <c r="G54" s="41" t="s">
        <v>1550</v>
      </c>
      <c r="H54" s="41" t="s">
        <v>222</v>
      </c>
      <c r="K54" s="41">
        <v>3300</v>
      </c>
      <c r="M54" s="59">
        <v>0.61458333333333337</v>
      </c>
      <c r="N54" s="41">
        <v>110</v>
      </c>
      <c r="O54" s="76">
        <f t="shared" si="1"/>
        <v>55.566666666666677</v>
      </c>
      <c r="P54" s="41">
        <v>38</v>
      </c>
      <c r="Q54" s="43" t="s">
        <v>224</v>
      </c>
      <c r="R54" s="43" t="s">
        <v>225</v>
      </c>
    </row>
    <row r="55" spans="1:18" ht="61.2" x14ac:dyDescent="0.2">
      <c r="A55" s="41">
        <v>1</v>
      </c>
      <c r="B55" s="41">
        <v>702</v>
      </c>
      <c r="C55" s="84">
        <v>42652</v>
      </c>
      <c r="D55" s="41" t="s">
        <v>157</v>
      </c>
      <c r="E55" s="41" t="s">
        <v>532</v>
      </c>
      <c r="F55" s="41" t="s">
        <v>1550</v>
      </c>
      <c r="G55" s="41" t="s">
        <v>1550</v>
      </c>
      <c r="H55" s="41" t="s">
        <v>226</v>
      </c>
      <c r="N55" s="41">
        <v>15</v>
      </c>
      <c r="O55" s="76">
        <f t="shared" si="1"/>
        <v>55.816666666666677</v>
      </c>
      <c r="Q55" s="43" t="s">
        <v>227</v>
      </c>
    </row>
    <row r="56" spans="1:18" ht="30.6" x14ac:dyDescent="0.2">
      <c r="A56" s="41">
        <v>1</v>
      </c>
      <c r="B56" s="41">
        <v>703</v>
      </c>
      <c r="C56" s="84">
        <v>42665</v>
      </c>
      <c r="D56" s="41" t="s">
        <v>157</v>
      </c>
      <c r="E56" s="41" t="s">
        <v>532</v>
      </c>
      <c r="F56" s="41" t="s">
        <v>1650</v>
      </c>
      <c r="G56" s="41" t="s">
        <v>1650</v>
      </c>
      <c r="H56" s="41" t="s">
        <v>228</v>
      </c>
      <c r="M56" s="59">
        <v>0.56944444444444442</v>
      </c>
      <c r="N56" s="41">
        <v>18</v>
      </c>
      <c r="O56" s="76">
        <f t="shared" si="1"/>
        <v>56.116666666666674</v>
      </c>
      <c r="Q56" s="43" t="s">
        <v>229</v>
      </c>
      <c r="R56" s="43" t="s">
        <v>231</v>
      </c>
    </row>
    <row r="57" spans="1:18" ht="20.399999999999999" x14ac:dyDescent="0.2">
      <c r="A57" s="41">
        <v>1</v>
      </c>
      <c r="B57" s="41">
        <v>704</v>
      </c>
      <c r="C57" s="84">
        <v>42665</v>
      </c>
      <c r="D57" s="41" t="s">
        <v>157</v>
      </c>
      <c r="E57" s="41" t="s">
        <v>532</v>
      </c>
      <c r="F57" s="41" t="s">
        <v>1650</v>
      </c>
      <c r="G57" s="41" t="s">
        <v>1650</v>
      </c>
      <c r="H57" s="41" t="s">
        <v>228</v>
      </c>
      <c r="M57" s="59">
        <v>0.64583333333333337</v>
      </c>
      <c r="N57" s="41">
        <v>12</v>
      </c>
      <c r="O57" s="76">
        <f t="shared" si="1"/>
        <v>56.316666666666677</v>
      </c>
      <c r="Q57" s="43" t="s">
        <v>230</v>
      </c>
      <c r="R57" s="43" t="s">
        <v>232</v>
      </c>
    </row>
    <row r="58" spans="1:18" ht="20.399999999999999" x14ac:dyDescent="0.2">
      <c r="A58" s="41">
        <v>1</v>
      </c>
      <c r="B58" s="41">
        <v>705</v>
      </c>
      <c r="C58" s="84">
        <v>42713</v>
      </c>
      <c r="D58" s="41" t="s">
        <v>157</v>
      </c>
      <c r="E58" s="41" t="s">
        <v>532</v>
      </c>
      <c r="F58" s="41" t="s">
        <v>1650</v>
      </c>
      <c r="G58" s="41" t="s">
        <v>1650</v>
      </c>
      <c r="H58" s="41" t="s">
        <v>233</v>
      </c>
      <c r="M58" s="59">
        <v>0.52083333333333337</v>
      </c>
      <c r="N58" s="41">
        <v>10</v>
      </c>
      <c r="O58" s="76">
        <f t="shared" si="1"/>
        <v>56.483333333333341</v>
      </c>
      <c r="Q58" s="43" t="s">
        <v>234</v>
      </c>
      <c r="R58" s="43" t="s">
        <v>235</v>
      </c>
    </row>
    <row r="59" spans="1:18" ht="20.399999999999999" x14ac:dyDescent="0.2">
      <c r="A59" s="41">
        <v>1</v>
      </c>
      <c r="B59" s="41">
        <v>706</v>
      </c>
      <c r="C59" s="84">
        <v>42713</v>
      </c>
      <c r="D59" s="41" t="s">
        <v>157</v>
      </c>
      <c r="E59" s="41" t="s">
        <v>532</v>
      </c>
      <c r="F59" s="41" t="s">
        <v>1650</v>
      </c>
      <c r="G59" s="41" t="s">
        <v>1650</v>
      </c>
      <c r="H59" s="41" t="s">
        <v>233</v>
      </c>
      <c r="M59" s="59">
        <v>0.5625</v>
      </c>
      <c r="N59" s="41">
        <v>10</v>
      </c>
      <c r="O59" s="76">
        <f t="shared" si="1"/>
        <v>56.650000000000006</v>
      </c>
      <c r="R59" s="43" t="s">
        <v>235</v>
      </c>
    </row>
    <row r="60" spans="1:18" x14ac:dyDescent="0.2">
      <c r="A60" s="41">
        <v>1</v>
      </c>
      <c r="B60" s="41">
        <v>707</v>
      </c>
      <c r="C60" s="84">
        <v>42713</v>
      </c>
      <c r="D60" s="41" t="s">
        <v>157</v>
      </c>
      <c r="E60" s="41" t="s">
        <v>532</v>
      </c>
      <c r="F60" s="41" t="s">
        <v>1650</v>
      </c>
      <c r="G60" s="41" t="s">
        <v>1650</v>
      </c>
      <c r="H60" s="41" t="s">
        <v>233</v>
      </c>
      <c r="M60" s="59">
        <v>0.54166666666666663</v>
      </c>
      <c r="N60" s="41">
        <v>5</v>
      </c>
      <c r="O60" s="76">
        <f t="shared" si="1"/>
        <v>56.733333333333341</v>
      </c>
    </row>
    <row r="61" spans="1:18" x14ac:dyDescent="0.2">
      <c r="A61" s="41">
        <v>1</v>
      </c>
      <c r="B61" s="41">
        <v>708</v>
      </c>
      <c r="C61" s="84">
        <v>42714</v>
      </c>
      <c r="D61" s="41" t="s">
        <v>157</v>
      </c>
      <c r="E61" s="41" t="s">
        <v>532</v>
      </c>
      <c r="F61" s="41" t="s">
        <v>1650</v>
      </c>
      <c r="G61" s="41" t="s">
        <v>1650</v>
      </c>
      <c r="H61" s="41" t="s">
        <v>233</v>
      </c>
      <c r="M61" s="59">
        <v>0.54166666666666663</v>
      </c>
      <c r="N61" s="41">
        <v>10</v>
      </c>
      <c r="O61" s="76">
        <f t="shared" si="1"/>
        <v>56.900000000000006</v>
      </c>
      <c r="R61" s="43" t="s">
        <v>237</v>
      </c>
    </row>
    <row r="62" spans="1:18" x14ac:dyDescent="0.2">
      <c r="A62" s="41">
        <v>1</v>
      </c>
      <c r="B62" s="41">
        <v>709</v>
      </c>
      <c r="C62" s="84">
        <v>42714</v>
      </c>
      <c r="D62" s="41" t="s">
        <v>157</v>
      </c>
      <c r="E62" s="41" t="s">
        <v>532</v>
      </c>
      <c r="F62" s="41" t="s">
        <v>1650</v>
      </c>
      <c r="G62" s="41" t="s">
        <v>1650</v>
      </c>
      <c r="H62" s="41" t="s">
        <v>233</v>
      </c>
      <c r="M62" s="59">
        <v>0.625</v>
      </c>
      <c r="N62" s="41">
        <v>10</v>
      </c>
      <c r="O62" s="76">
        <f t="shared" si="1"/>
        <v>57.06666666666667</v>
      </c>
      <c r="R62" s="43" t="s">
        <v>236</v>
      </c>
    </row>
    <row r="63" spans="1:18" ht="142.80000000000001" x14ac:dyDescent="0.2">
      <c r="A63" s="41">
        <v>1</v>
      </c>
      <c r="B63" s="41">
        <v>710</v>
      </c>
      <c r="C63" s="84">
        <v>42715</v>
      </c>
      <c r="D63" s="41" t="s">
        <v>157</v>
      </c>
      <c r="E63" s="41" t="s">
        <v>239</v>
      </c>
      <c r="F63" s="41" t="s">
        <v>1650</v>
      </c>
      <c r="G63" s="41" t="s">
        <v>1650</v>
      </c>
      <c r="H63" s="41" t="s">
        <v>233</v>
      </c>
      <c r="M63" s="59">
        <v>0.5625</v>
      </c>
      <c r="N63" s="41">
        <v>50</v>
      </c>
      <c r="O63" s="76">
        <f t="shared" si="1"/>
        <v>57.900000000000006</v>
      </c>
      <c r="Q63" s="43" t="s">
        <v>238</v>
      </c>
    </row>
    <row r="64" spans="1:18" ht="122.4" x14ac:dyDescent="0.2">
      <c r="A64" s="41">
        <v>1</v>
      </c>
      <c r="B64" s="41">
        <v>711</v>
      </c>
      <c r="C64" s="84">
        <v>42729</v>
      </c>
      <c r="D64" s="41" t="s">
        <v>157</v>
      </c>
      <c r="E64" s="41" t="s">
        <v>532</v>
      </c>
      <c r="F64" s="41" t="s">
        <v>1650</v>
      </c>
      <c r="G64" s="41" t="s">
        <v>1650</v>
      </c>
      <c r="H64" s="41" t="s">
        <v>233</v>
      </c>
      <c r="M64" s="59">
        <v>0.53125</v>
      </c>
      <c r="N64" s="41">
        <v>82</v>
      </c>
      <c r="O64" s="76">
        <f>(O63+N64/60)</f>
        <v>59.266666666666673</v>
      </c>
      <c r="Q64" s="43" t="s">
        <v>242</v>
      </c>
      <c r="R64" s="43" t="s">
        <v>243</v>
      </c>
    </row>
  </sheetData>
  <autoFilter ref="A2:S64"/>
  <phoneticPr fontId="14"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workbookViewId="0">
      <selection activeCell="D12" sqref="D12"/>
    </sheetView>
  </sheetViews>
  <sheetFormatPr baseColWidth="10" defaultColWidth="11.44140625" defaultRowHeight="10.199999999999999" x14ac:dyDescent="0.2"/>
  <cols>
    <col min="1" max="1" width="5.5546875" style="41" bestFit="1" customWidth="1"/>
    <col min="2" max="2" width="5.44140625" style="41" bestFit="1" customWidth="1"/>
    <col min="3" max="3" width="11.44140625" style="41" customWidth="1"/>
    <col min="4" max="4" width="18.6640625" style="41" bestFit="1" customWidth="1"/>
    <col min="5" max="6" width="11.44140625" style="41" customWidth="1"/>
    <col min="7" max="10" width="0" style="41" hidden="1" customWidth="1"/>
    <col min="11" max="11" width="4.88671875" style="41" bestFit="1" customWidth="1"/>
    <col min="12" max="12" width="3.6640625" style="41" bestFit="1" customWidth="1"/>
    <col min="13" max="13" width="70.33203125" style="43" customWidth="1"/>
    <col min="14" max="14" width="55.6640625" style="41" customWidth="1"/>
    <col min="15" max="16384" width="11.44140625" style="41"/>
  </cols>
  <sheetData>
    <row r="1" spans="1:14" s="39" customFormat="1" x14ac:dyDescent="0.25">
      <c r="A1" s="39" t="s">
        <v>1178</v>
      </c>
      <c r="B1" s="39" t="s">
        <v>1164</v>
      </c>
      <c r="C1" s="40" t="s">
        <v>1165</v>
      </c>
      <c r="D1" s="39" t="s">
        <v>1166</v>
      </c>
      <c r="E1" s="39" t="s">
        <v>1167</v>
      </c>
      <c r="F1" s="39" t="s">
        <v>1177</v>
      </c>
      <c r="G1" s="39" t="s">
        <v>1171</v>
      </c>
      <c r="H1" s="39" t="s">
        <v>1172</v>
      </c>
      <c r="I1" s="39" t="s">
        <v>1173</v>
      </c>
      <c r="J1" s="39" t="s">
        <v>1174</v>
      </c>
      <c r="K1" s="39" t="s">
        <v>1175</v>
      </c>
      <c r="L1" s="39" t="s">
        <v>1179</v>
      </c>
      <c r="M1" s="39" t="s">
        <v>1162</v>
      </c>
      <c r="N1" s="39" t="s">
        <v>1163</v>
      </c>
    </row>
    <row r="2" spans="1:14" s="39" customFormat="1" x14ac:dyDescent="0.2">
      <c r="A2" s="38" t="s">
        <v>529</v>
      </c>
      <c r="C2" s="40"/>
      <c r="E2" s="41"/>
    </row>
    <row r="3" spans="1:14" x14ac:dyDescent="0.2">
      <c r="A3" s="41">
        <v>1</v>
      </c>
      <c r="B3" s="41">
        <v>637</v>
      </c>
      <c r="C3" s="42">
        <v>42105</v>
      </c>
      <c r="D3" s="41" t="s">
        <v>450</v>
      </c>
      <c r="E3" s="41" t="s">
        <v>1650</v>
      </c>
    </row>
    <row r="4" spans="1:14" x14ac:dyDescent="0.2">
      <c r="A4" s="41">
        <v>1</v>
      </c>
      <c r="B4" s="41">
        <v>638</v>
      </c>
      <c r="C4" s="42">
        <v>42105</v>
      </c>
      <c r="D4" s="41" t="s">
        <v>450</v>
      </c>
      <c r="E4" s="41" t="s">
        <v>1650</v>
      </c>
    </row>
    <row r="5" spans="1:14" x14ac:dyDescent="0.2">
      <c r="A5" s="41">
        <v>1</v>
      </c>
      <c r="B5" s="41">
        <v>639</v>
      </c>
      <c r="C5" s="42">
        <v>42106</v>
      </c>
      <c r="D5" s="41" t="s">
        <v>450</v>
      </c>
      <c r="E5" s="41" t="s">
        <v>1650</v>
      </c>
    </row>
    <row r="6" spans="1:14" x14ac:dyDescent="0.2">
      <c r="A6" s="41">
        <v>1</v>
      </c>
      <c r="B6" s="41">
        <v>640</v>
      </c>
      <c r="C6" s="42">
        <v>42106</v>
      </c>
      <c r="D6" s="41" t="s">
        <v>450</v>
      </c>
      <c r="E6" s="41" t="s">
        <v>1650</v>
      </c>
    </row>
    <row r="7" spans="1:14" x14ac:dyDescent="0.2">
      <c r="A7" s="41">
        <v>1</v>
      </c>
      <c r="B7" s="41">
        <v>641</v>
      </c>
      <c r="E7" s="41" t="s">
        <v>1650</v>
      </c>
    </row>
    <row r="8" spans="1:14" x14ac:dyDescent="0.2">
      <c r="A8" s="41">
        <v>1</v>
      </c>
      <c r="B8" s="41">
        <v>642</v>
      </c>
      <c r="E8" s="41" t="s">
        <v>1650</v>
      </c>
    </row>
    <row r="9" spans="1:14" x14ac:dyDescent="0.2">
      <c r="A9" s="41">
        <v>1</v>
      </c>
      <c r="B9" s="41">
        <v>643</v>
      </c>
      <c r="E9" s="41" t="s">
        <v>1650</v>
      </c>
    </row>
    <row r="10" spans="1:14" x14ac:dyDescent="0.2">
      <c r="A10" s="41">
        <v>1</v>
      </c>
      <c r="B10" s="41">
        <v>644</v>
      </c>
      <c r="D10" s="41" t="s">
        <v>452</v>
      </c>
      <c r="E10" s="41" t="s">
        <v>1650</v>
      </c>
      <c r="K10" s="41">
        <v>15</v>
      </c>
      <c r="M10" s="43" t="s">
        <v>453</v>
      </c>
    </row>
    <row r="11" spans="1:14" x14ac:dyDescent="0.2">
      <c r="A11" s="41">
        <v>1</v>
      </c>
      <c r="B11" s="41">
        <v>645</v>
      </c>
      <c r="E11" s="41" t="s">
        <v>1650</v>
      </c>
    </row>
    <row r="12" spans="1:14" x14ac:dyDescent="0.2">
      <c r="A12" s="41">
        <v>1</v>
      </c>
      <c r="B12" s="41">
        <v>646</v>
      </c>
      <c r="E12" s="41" t="s">
        <v>1650</v>
      </c>
    </row>
    <row r="13" spans="1:14" ht="20.399999999999999" x14ac:dyDescent="0.2">
      <c r="A13" s="41">
        <v>1</v>
      </c>
      <c r="B13" s="41">
        <v>647</v>
      </c>
      <c r="C13" s="42">
        <v>42198</v>
      </c>
      <c r="D13" s="41" t="s">
        <v>450</v>
      </c>
      <c r="E13" s="41" t="s">
        <v>1650</v>
      </c>
      <c r="K13" s="41">
        <v>90</v>
      </c>
      <c r="M13" s="43" t="s">
        <v>456</v>
      </c>
    </row>
    <row r="14" spans="1:14" x14ac:dyDescent="0.2">
      <c r="A14" s="41">
        <v>1</v>
      </c>
      <c r="B14" s="41">
        <v>648</v>
      </c>
      <c r="C14" s="42">
        <v>42199</v>
      </c>
      <c r="D14" s="41" t="s">
        <v>450</v>
      </c>
      <c r="E14" s="41" t="s">
        <v>1650</v>
      </c>
      <c r="K14" s="41">
        <v>45</v>
      </c>
    </row>
    <row r="15" spans="1:14" x14ac:dyDescent="0.2">
      <c r="A15" s="41">
        <v>1</v>
      </c>
      <c r="B15" s="41">
        <v>649</v>
      </c>
      <c r="C15" s="42">
        <v>42199</v>
      </c>
      <c r="D15" s="41" t="s">
        <v>450</v>
      </c>
      <c r="E15" s="41" t="s">
        <v>1650</v>
      </c>
      <c r="K15" s="41">
        <v>180</v>
      </c>
    </row>
    <row r="16" spans="1:14" ht="61.2" x14ac:dyDescent="0.2">
      <c r="A16" s="41">
        <v>1</v>
      </c>
      <c r="B16" s="41">
        <v>650</v>
      </c>
      <c r="C16" s="42">
        <v>42205</v>
      </c>
      <c r="D16" s="41" t="s">
        <v>448</v>
      </c>
      <c r="E16" s="41" t="s">
        <v>1650</v>
      </c>
      <c r="K16" s="41">
        <v>90</v>
      </c>
      <c r="M16" s="43" t="s">
        <v>457</v>
      </c>
      <c r="N16" s="43" t="s">
        <v>455</v>
      </c>
    </row>
    <row r="17" spans="1:14" ht="51" x14ac:dyDescent="0.2">
      <c r="A17" s="41">
        <v>1</v>
      </c>
      <c r="B17" s="41">
        <v>651</v>
      </c>
      <c r="C17" s="42">
        <v>42205</v>
      </c>
      <c r="D17" s="41" t="s">
        <v>449</v>
      </c>
      <c r="E17" s="41" t="s">
        <v>1650</v>
      </c>
      <c r="K17" s="41">
        <v>165</v>
      </c>
      <c r="M17" s="43" t="s">
        <v>458</v>
      </c>
      <c r="N17" s="41" t="s">
        <v>454</v>
      </c>
    </row>
    <row r="18" spans="1:14" ht="81.599999999999994" x14ac:dyDescent="0.2">
      <c r="A18" s="41">
        <v>1</v>
      </c>
      <c r="B18" s="41">
        <v>652</v>
      </c>
      <c r="C18" s="42">
        <v>42209</v>
      </c>
      <c r="D18" s="41" t="s">
        <v>519</v>
      </c>
      <c r="E18" s="41" t="s">
        <v>1650</v>
      </c>
      <c r="K18" s="41">
        <v>90</v>
      </c>
      <c r="M18" s="43" t="s">
        <v>520</v>
      </c>
      <c r="N18" s="43" t="s">
        <v>521</v>
      </c>
    </row>
    <row r="19" spans="1:14" x14ac:dyDescent="0.2">
      <c r="A19" s="41">
        <v>1</v>
      </c>
      <c r="B19" s="41">
        <v>653</v>
      </c>
      <c r="C19" s="42">
        <v>42211</v>
      </c>
      <c r="D19" s="41" t="s">
        <v>519</v>
      </c>
      <c r="E19" s="41" t="s">
        <v>1650</v>
      </c>
      <c r="K19" s="41">
        <v>45</v>
      </c>
      <c r="M19" s="43" t="s">
        <v>520</v>
      </c>
    </row>
    <row r="20" spans="1:14" x14ac:dyDescent="0.2">
      <c r="A20" s="41">
        <v>1</v>
      </c>
      <c r="B20" s="41">
        <v>654</v>
      </c>
      <c r="C20" s="42">
        <v>42585</v>
      </c>
      <c r="D20" s="41" t="s">
        <v>450</v>
      </c>
      <c r="E20" s="41" t="s">
        <v>1650</v>
      </c>
      <c r="K20" s="41">
        <v>15</v>
      </c>
    </row>
    <row r="21" spans="1:14" x14ac:dyDescent="0.2">
      <c r="A21" s="41">
        <v>1</v>
      </c>
      <c r="B21" s="41">
        <v>655</v>
      </c>
      <c r="C21" s="42">
        <v>42585</v>
      </c>
      <c r="D21" s="41" t="s">
        <v>450</v>
      </c>
      <c r="E21" s="41" t="s">
        <v>1650</v>
      </c>
      <c r="K21" s="41">
        <v>15</v>
      </c>
    </row>
    <row r="22" spans="1:14" x14ac:dyDescent="0.2">
      <c r="A22" s="41">
        <v>1</v>
      </c>
      <c r="B22" s="41">
        <v>656</v>
      </c>
      <c r="C22" s="42">
        <v>42585</v>
      </c>
      <c r="D22" s="41" t="s">
        <v>450</v>
      </c>
      <c r="E22" s="41" t="s">
        <v>1650</v>
      </c>
      <c r="K22" s="41">
        <v>180</v>
      </c>
    </row>
    <row r="23" spans="1:14" x14ac:dyDescent="0.2">
      <c r="A23" s="41">
        <f>SUM(A3:A22)</f>
        <v>20</v>
      </c>
      <c r="K23" s="41">
        <f>SUM(K3:K22)/60</f>
        <v>15.5</v>
      </c>
    </row>
    <row r="24" spans="1:14" ht="300" customHeight="1" x14ac:dyDescent="0.2">
      <c r="A24" s="299" t="s">
        <v>416</v>
      </c>
      <c r="B24" s="299"/>
      <c r="C24" s="299"/>
      <c r="D24" s="299"/>
      <c r="E24" s="299"/>
      <c r="F24" s="299"/>
      <c r="G24" s="299"/>
      <c r="H24" s="299"/>
      <c r="I24" s="299"/>
      <c r="J24" s="299"/>
      <c r="K24" s="299"/>
      <c r="L24" s="299"/>
      <c r="M24" s="299"/>
      <c r="N24" s="299"/>
    </row>
    <row r="25" spans="1:14" ht="59.25" customHeight="1" x14ac:dyDescent="0.2">
      <c r="A25" s="299" t="s">
        <v>342</v>
      </c>
      <c r="B25" s="299"/>
      <c r="C25" s="299"/>
      <c r="D25" s="299"/>
      <c r="E25" s="299"/>
      <c r="F25" s="299"/>
      <c r="G25" s="299"/>
      <c r="H25" s="299"/>
      <c r="I25" s="299"/>
      <c r="J25" s="299"/>
      <c r="K25" s="299"/>
      <c r="L25" s="299"/>
      <c r="M25" s="299"/>
      <c r="N25" s="299"/>
    </row>
    <row r="26" spans="1:14" x14ac:dyDescent="0.2">
      <c r="A26" s="44"/>
    </row>
  </sheetData>
  <mergeCells count="2">
    <mergeCell ref="A24:N24"/>
    <mergeCell ref="A25:N25"/>
  </mergeCells>
  <phoneticPr fontId="14"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6"/>
  <sheetViews>
    <sheetView workbookViewId="0">
      <pane ySplit="1" topLeftCell="A5" activePane="bottomLeft" state="frozenSplit"/>
      <selection pane="bottomLeft" activeCell="A16" sqref="A16"/>
    </sheetView>
  </sheetViews>
  <sheetFormatPr baseColWidth="10" defaultColWidth="11.44140625" defaultRowHeight="13.2" x14ac:dyDescent="0.25"/>
  <cols>
    <col min="1" max="1" width="12.5546875" style="19" bestFit="1" customWidth="1"/>
    <col min="2" max="2" width="12.109375" style="19" customWidth="1"/>
    <col min="3" max="3" width="4.88671875" style="19" bestFit="1" customWidth="1"/>
    <col min="4" max="6" width="10.21875" style="19" customWidth="1"/>
    <col min="7" max="7" width="9.5546875" style="19" bestFit="1" customWidth="1"/>
    <col min="8" max="8" width="5.44140625" style="19" bestFit="1" customWidth="1"/>
    <col min="9" max="9" width="8" style="19" customWidth="1"/>
    <col min="10" max="10" width="7.109375" style="19" bestFit="1" customWidth="1"/>
    <col min="11" max="11" width="10.88671875" style="19" bestFit="1" customWidth="1"/>
    <col min="12" max="13" width="10.88671875" style="19" customWidth="1"/>
    <col min="14" max="14" width="9.33203125" style="19" customWidth="1"/>
    <col min="15" max="15" width="14.5546875" style="19" bestFit="1" customWidth="1"/>
    <col min="16" max="16" width="17.44140625" style="19" customWidth="1"/>
    <col min="17" max="17" width="10.109375" style="19" bestFit="1" customWidth="1"/>
    <col min="18" max="18" width="10.109375" style="19" customWidth="1"/>
    <col min="19" max="19" width="10.88671875" style="19" bestFit="1" customWidth="1"/>
    <col min="20" max="20" width="12" style="19" customWidth="1"/>
    <col min="21" max="21" width="97.109375" style="19" customWidth="1"/>
    <col min="22" max="16384" width="11.44140625" style="19"/>
  </cols>
  <sheetData>
    <row r="1" spans="1:21" s="29" customFormat="1" ht="52.8" x14ac:dyDescent="0.25">
      <c r="A1" s="30" t="s">
        <v>460</v>
      </c>
      <c r="B1" s="30" t="s">
        <v>461</v>
      </c>
      <c r="C1" s="30" t="s">
        <v>462</v>
      </c>
      <c r="D1" s="30" t="s">
        <v>2377</v>
      </c>
      <c r="E1" s="30" t="s">
        <v>2381</v>
      </c>
      <c r="F1" s="30" t="s">
        <v>2386</v>
      </c>
      <c r="G1" s="30" t="s">
        <v>488</v>
      </c>
      <c r="H1" s="30" t="s">
        <v>463</v>
      </c>
      <c r="I1" s="30" t="s">
        <v>2378</v>
      </c>
      <c r="J1" s="30" t="s">
        <v>469</v>
      </c>
      <c r="K1" s="30" t="s">
        <v>470</v>
      </c>
      <c r="L1" s="30" t="s">
        <v>2373</v>
      </c>
      <c r="M1" s="30" t="s">
        <v>2372</v>
      </c>
      <c r="N1" s="30" t="s">
        <v>464</v>
      </c>
      <c r="O1" s="30" t="s">
        <v>2374</v>
      </c>
      <c r="P1" s="30" t="s">
        <v>2375</v>
      </c>
      <c r="Q1" s="30" t="s">
        <v>467</v>
      </c>
      <c r="R1" s="30" t="s">
        <v>2376</v>
      </c>
      <c r="S1" s="30" t="s">
        <v>474</v>
      </c>
      <c r="T1" s="30" t="s">
        <v>477</v>
      </c>
      <c r="U1" s="28" t="s">
        <v>485</v>
      </c>
    </row>
    <row r="2" spans="1:21" ht="26.4" x14ac:dyDescent="0.25">
      <c r="A2" s="31" t="s">
        <v>471</v>
      </c>
      <c r="B2" s="31" t="s">
        <v>472</v>
      </c>
      <c r="C2" s="31" t="s">
        <v>476</v>
      </c>
      <c r="D2" s="31"/>
      <c r="E2" s="31"/>
      <c r="F2" s="31"/>
      <c r="G2" s="31"/>
      <c r="H2" s="20">
        <v>3.96</v>
      </c>
      <c r="I2" s="20">
        <v>49</v>
      </c>
      <c r="J2" s="20">
        <v>37</v>
      </c>
      <c r="K2" s="20">
        <v>44</v>
      </c>
      <c r="L2" s="20"/>
      <c r="M2" s="20"/>
      <c r="N2" s="31" t="s">
        <v>473</v>
      </c>
      <c r="O2" s="31" t="s">
        <v>493</v>
      </c>
      <c r="P2" s="31" t="s">
        <v>475</v>
      </c>
      <c r="Q2" s="31" t="s">
        <v>479</v>
      </c>
      <c r="R2" s="31"/>
      <c r="S2" s="31" t="s">
        <v>484</v>
      </c>
      <c r="T2" s="31" t="s">
        <v>478</v>
      </c>
    </row>
    <row r="3" spans="1:21" s="35" customFormat="1" x14ac:dyDescent="0.25">
      <c r="A3" s="32" t="s">
        <v>480</v>
      </c>
      <c r="B3" s="32" t="s">
        <v>482</v>
      </c>
      <c r="C3" s="32" t="s">
        <v>487</v>
      </c>
      <c r="D3" s="32"/>
      <c r="E3" s="32"/>
      <c r="F3" s="32"/>
      <c r="G3" s="32" t="s">
        <v>489</v>
      </c>
      <c r="H3" s="33">
        <v>3.6</v>
      </c>
      <c r="I3" s="33">
        <v>38</v>
      </c>
      <c r="J3" s="33">
        <v>32</v>
      </c>
      <c r="K3" s="33">
        <v>44</v>
      </c>
      <c r="L3" s="33"/>
      <c r="M3" s="33"/>
      <c r="N3" s="32" t="s">
        <v>481</v>
      </c>
      <c r="O3" s="32" t="s">
        <v>484</v>
      </c>
      <c r="P3" s="32" t="s">
        <v>475</v>
      </c>
      <c r="Q3" s="32" t="s">
        <v>483</v>
      </c>
      <c r="R3" s="32"/>
      <c r="S3" s="32" t="s">
        <v>484</v>
      </c>
      <c r="T3" s="32" t="s">
        <v>490</v>
      </c>
      <c r="U3" s="34" t="s">
        <v>486</v>
      </c>
    </row>
    <row r="4" spans="1:21" ht="39.6" x14ac:dyDescent="0.25">
      <c r="A4" s="31" t="s">
        <v>480</v>
      </c>
      <c r="B4" s="31" t="s">
        <v>491</v>
      </c>
      <c r="C4" s="31" t="s">
        <v>487</v>
      </c>
      <c r="D4" s="31"/>
      <c r="E4" s="31"/>
      <c r="F4" s="31"/>
      <c r="G4" s="31" t="s">
        <v>489</v>
      </c>
      <c r="H4" s="20">
        <v>4.5</v>
      </c>
      <c r="I4" s="31" t="s">
        <v>503</v>
      </c>
      <c r="J4" s="20"/>
      <c r="K4" s="20">
        <v>44</v>
      </c>
      <c r="L4" s="20"/>
      <c r="M4" s="20"/>
      <c r="N4" s="31" t="s">
        <v>494</v>
      </c>
      <c r="O4" s="31" t="s">
        <v>493</v>
      </c>
      <c r="P4" s="31" t="s">
        <v>475</v>
      </c>
      <c r="Q4" s="20"/>
      <c r="R4" s="20"/>
      <c r="S4" s="31" t="s">
        <v>492</v>
      </c>
      <c r="T4" s="31" t="s">
        <v>484</v>
      </c>
    </row>
    <row r="5" spans="1:21" x14ac:dyDescent="0.25">
      <c r="A5" s="31" t="s">
        <v>495</v>
      </c>
      <c r="B5" s="31" t="s">
        <v>496</v>
      </c>
      <c r="C5" s="31" t="s">
        <v>487</v>
      </c>
      <c r="D5" s="31"/>
      <c r="E5" s="31"/>
      <c r="F5" s="31"/>
      <c r="G5" s="31" t="s">
        <v>498</v>
      </c>
      <c r="H5" s="20">
        <v>3.5</v>
      </c>
      <c r="I5" s="20">
        <v>37</v>
      </c>
      <c r="J5" s="20">
        <v>35</v>
      </c>
      <c r="K5" s="20">
        <v>45</v>
      </c>
      <c r="L5" s="20"/>
      <c r="M5" s="20"/>
      <c r="N5" s="31" t="s">
        <v>484</v>
      </c>
      <c r="O5" s="31" t="s">
        <v>484</v>
      </c>
      <c r="P5" s="31" t="s">
        <v>499</v>
      </c>
      <c r="Q5" s="31" t="s">
        <v>483</v>
      </c>
      <c r="R5" s="31"/>
      <c r="S5" s="20"/>
      <c r="T5" s="31" t="s">
        <v>497</v>
      </c>
    </row>
    <row r="6" spans="1:21" x14ac:dyDescent="0.25">
      <c r="A6" s="31" t="s">
        <v>500</v>
      </c>
      <c r="B6" s="31" t="s">
        <v>502</v>
      </c>
      <c r="C6" s="31" t="s">
        <v>476</v>
      </c>
      <c r="D6" s="31"/>
      <c r="E6" s="31"/>
      <c r="F6" s="31"/>
      <c r="G6" s="31" t="s">
        <v>504</v>
      </c>
      <c r="H6" s="20">
        <v>4</v>
      </c>
      <c r="I6" s="31">
        <v>37.5</v>
      </c>
      <c r="J6" s="20">
        <v>35</v>
      </c>
      <c r="K6" s="20"/>
      <c r="L6" s="20"/>
      <c r="M6" s="20"/>
      <c r="N6" s="31" t="s">
        <v>484</v>
      </c>
      <c r="O6" s="31" t="s">
        <v>484</v>
      </c>
      <c r="P6" s="31" t="s">
        <v>497</v>
      </c>
      <c r="Q6" s="20"/>
      <c r="R6" s="20"/>
      <c r="S6" s="31" t="s">
        <v>484</v>
      </c>
      <c r="T6" s="31" t="s">
        <v>484</v>
      </c>
    </row>
    <row r="7" spans="1:21" ht="26.4" x14ac:dyDescent="0.25">
      <c r="A7" s="31" t="s">
        <v>514</v>
      </c>
      <c r="B7" s="31" t="s">
        <v>515</v>
      </c>
      <c r="C7" s="31" t="s">
        <v>476</v>
      </c>
      <c r="D7" s="31"/>
      <c r="E7" s="31"/>
      <c r="F7" s="31"/>
      <c r="G7" s="31" t="s">
        <v>516</v>
      </c>
      <c r="H7" s="20">
        <v>3.95</v>
      </c>
      <c r="I7" s="31">
        <v>43</v>
      </c>
      <c r="J7" s="20">
        <v>38</v>
      </c>
      <c r="K7" s="20">
        <v>42</v>
      </c>
      <c r="L7" s="20"/>
      <c r="M7" s="20"/>
      <c r="N7" s="31" t="s">
        <v>473</v>
      </c>
      <c r="O7" s="31" t="s">
        <v>484</v>
      </c>
      <c r="P7" s="31" t="s">
        <v>517</v>
      </c>
      <c r="Q7" s="31" t="s">
        <v>483</v>
      </c>
      <c r="R7" s="31"/>
      <c r="S7" s="20" t="s">
        <v>414</v>
      </c>
      <c r="T7" s="31" t="s">
        <v>518</v>
      </c>
      <c r="U7" s="27" t="s">
        <v>415</v>
      </c>
    </row>
    <row r="8" spans="1:21" ht="26.4" x14ac:dyDescent="0.25">
      <c r="A8" s="31" t="s">
        <v>500</v>
      </c>
      <c r="B8" s="31" t="s">
        <v>501</v>
      </c>
      <c r="C8" s="31" t="s">
        <v>476</v>
      </c>
      <c r="D8" s="31"/>
      <c r="E8" s="31"/>
      <c r="F8" s="31"/>
      <c r="G8" s="31" t="s">
        <v>504</v>
      </c>
      <c r="H8" s="20">
        <v>4.1500000000000004</v>
      </c>
      <c r="I8" s="31">
        <v>36.5</v>
      </c>
      <c r="J8" s="20">
        <v>35</v>
      </c>
      <c r="K8" s="20">
        <v>45</v>
      </c>
      <c r="L8" s="20"/>
      <c r="M8" s="20"/>
      <c r="N8" s="31" t="s">
        <v>484</v>
      </c>
      <c r="O8" s="31" t="s">
        <v>493</v>
      </c>
      <c r="P8" s="31" t="s">
        <v>505</v>
      </c>
      <c r="Q8" s="31" t="s">
        <v>483</v>
      </c>
      <c r="R8" s="31"/>
      <c r="S8" s="31" t="s">
        <v>484</v>
      </c>
      <c r="T8" s="31" t="s">
        <v>484</v>
      </c>
    </row>
    <row r="9" spans="1:21" ht="26.4" x14ac:dyDescent="0.25">
      <c r="A9" s="31" t="s">
        <v>506</v>
      </c>
      <c r="B9" s="31" t="s">
        <v>507</v>
      </c>
      <c r="C9" s="31" t="s">
        <v>487</v>
      </c>
      <c r="D9" s="31"/>
      <c r="E9" s="31"/>
      <c r="F9" s="31"/>
      <c r="G9" s="31" t="s">
        <v>509</v>
      </c>
      <c r="H9" s="20">
        <v>3.5</v>
      </c>
      <c r="I9" s="31" t="s">
        <v>511</v>
      </c>
      <c r="J9" s="20"/>
      <c r="K9" s="20">
        <v>46</v>
      </c>
      <c r="L9" s="20"/>
      <c r="M9" s="20"/>
      <c r="N9" s="31" t="s">
        <v>510</v>
      </c>
      <c r="O9" s="31" t="s">
        <v>512</v>
      </c>
      <c r="P9" s="31" t="s">
        <v>484</v>
      </c>
      <c r="Q9" s="20"/>
      <c r="R9" s="20"/>
      <c r="S9" s="31" t="s">
        <v>513</v>
      </c>
      <c r="T9" s="31" t="s">
        <v>508</v>
      </c>
    </row>
    <row r="10" spans="1:21" ht="26.4" x14ac:dyDescent="0.25">
      <c r="A10" s="19" t="s">
        <v>471</v>
      </c>
      <c r="B10" s="19" t="s">
        <v>523</v>
      </c>
      <c r="C10" s="19" t="s">
        <v>476</v>
      </c>
      <c r="H10" s="19">
        <v>4</v>
      </c>
      <c r="I10" s="19">
        <v>46</v>
      </c>
      <c r="J10" s="19">
        <v>40</v>
      </c>
      <c r="K10" s="19">
        <v>38</v>
      </c>
      <c r="O10" s="19" t="s">
        <v>484</v>
      </c>
      <c r="P10" s="19" t="s">
        <v>484</v>
      </c>
      <c r="Q10" s="19" t="s">
        <v>479</v>
      </c>
      <c r="T10" s="19" t="s">
        <v>522</v>
      </c>
    </row>
    <row r="11" spans="1:21" s="282" customFormat="1" ht="13.8" thickBot="1" x14ac:dyDescent="0.3">
      <c r="A11" s="282" t="s">
        <v>524</v>
      </c>
      <c r="B11" s="282" t="s">
        <v>525</v>
      </c>
      <c r="C11" s="282" t="s">
        <v>487</v>
      </c>
      <c r="G11" s="282" t="s">
        <v>489</v>
      </c>
      <c r="H11" s="282">
        <v>3.9</v>
      </c>
      <c r="N11" s="282" t="s">
        <v>481</v>
      </c>
      <c r="O11" s="282" t="s">
        <v>484</v>
      </c>
      <c r="P11" s="282" t="s">
        <v>526</v>
      </c>
      <c r="Q11" s="282">
        <v>2</v>
      </c>
      <c r="S11" s="282" t="s">
        <v>484</v>
      </c>
      <c r="T11" s="282" t="s">
        <v>527</v>
      </c>
      <c r="U11" s="282" t="s">
        <v>528</v>
      </c>
    </row>
    <row r="12" spans="1:21" x14ac:dyDescent="0.25">
      <c r="A12" s="19" t="s">
        <v>480</v>
      </c>
      <c r="B12" s="19" t="s">
        <v>2368</v>
      </c>
      <c r="C12" s="19" t="s">
        <v>252</v>
      </c>
      <c r="G12" s="19" t="s">
        <v>2369</v>
      </c>
      <c r="H12" s="19">
        <v>3.1</v>
      </c>
    </row>
    <row r="13" spans="1:21" ht="26.4" x14ac:dyDescent="0.25">
      <c r="A13" s="19" t="s">
        <v>261</v>
      </c>
      <c r="B13" s="19" t="s">
        <v>2379</v>
      </c>
      <c r="C13" s="19" t="s">
        <v>487</v>
      </c>
      <c r="H13" s="19">
        <v>3.8</v>
      </c>
      <c r="P13" s="19" t="s">
        <v>2380</v>
      </c>
    </row>
    <row r="14" spans="1:21" x14ac:dyDescent="0.25">
      <c r="A14" s="19" t="s">
        <v>506</v>
      </c>
      <c r="B14" s="19" t="s">
        <v>2382</v>
      </c>
      <c r="C14" s="19" t="s">
        <v>252</v>
      </c>
      <c r="D14" s="19" t="s">
        <v>2394</v>
      </c>
      <c r="G14" s="19" t="s">
        <v>2395</v>
      </c>
      <c r="H14" s="19">
        <v>3.2</v>
      </c>
      <c r="M14" s="19" t="s">
        <v>2396</v>
      </c>
    </row>
    <row r="15" spans="1:21" x14ac:dyDescent="0.25">
      <c r="A15" s="19" t="s">
        <v>506</v>
      </c>
      <c r="B15" s="19" t="s">
        <v>2385</v>
      </c>
    </row>
    <row r="16" spans="1:21" x14ac:dyDescent="0.25">
      <c r="A16" s="19" t="s">
        <v>2383</v>
      </c>
      <c r="B16" s="19" t="s">
        <v>2390</v>
      </c>
    </row>
    <row r="17" spans="1:21" ht="26.4" x14ac:dyDescent="0.25">
      <c r="A17" s="19" t="s">
        <v>471</v>
      </c>
      <c r="B17" s="19" t="s">
        <v>2388</v>
      </c>
    </row>
    <row r="18" spans="1:21" x14ac:dyDescent="0.25">
      <c r="A18" s="19" t="s">
        <v>2391</v>
      </c>
      <c r="B18" s="19" t="s">
        <v>2392</v>
      </c>
    </row>
    <row r="19" spans="1:21" x14ac:dyDescent="0.25">
      <c r="A19" s="19" t="s">
        <v>2384</v>
      </c>
      <c r="B19" s="19" t="s">
        <v>2389</v>
      </c>
    </row>
    <row r="20" spans="1:21" ht="26.4" x14ac:dyDescent="0.25">
      <c r="A20" s="19" t="s">
        <v>2387</v>
      </c>
      <c r="B20" s="19" t="s">
        <v>2393</v>
      </c>
    </row>
    <row r="24" spans="1:21" customFormat="1" x14ac:dyDescent="0.25">
      <c r="A24" s="71" t="s">
        <v>322</v>
      </c>
      <c r="C24" s="72"/>
      <c r="D24" s="72"/>
      <c r="E24" s="72"/>
      <c r="F24" s="72"/>
      <c r="G24" s="72"/>
      <c r="H24" s="72"/>
      <c r="I24" s="74"/>
      <c r="J24" s="74"/>
      <c r="K24" s="74"/>
      <c r="L24" s="74"/>
      <c r="M24" s="74"/>
      <c r="N24" s="73"/>
      <c r="O24" s="73"/>
      <c r="P24" s="74"/>
      <c r="Q24" s="73"/>
      <c r="R24" s="73"/>
      <c r="S24" s="73"/>
    </row>
    <row r="25" spans="1:21" s="41" customFormat="1" ht="112.5" customHeight="1" x14ac:dyDescent="0.2">
      <c r="A25" s="54" t="s">
        <v>460</v>
      </c>
      <c r="B25" s="54" t="s">
        <v>461</v>
      </c>
      <c r="C25" s="54" t="s">
        <v>462</v>
      </c>
      <c r="D25" s="54"/>
      <c r="E25" s="54"/>
      <c r="F25" s="54"/>
      <c r="G25" s="54" t="s">
        <v>463</v>
      </c>
      <c r="H25" s="54" t="s">
        <v>468</v>
      </c>
      <c r="I25" s="54" t="s">
        <v>469</v>
      </c>
      <c r="J25" s="54" t="s">
        <v>470</v>
      </c>
      <c r="K25" s="54" t="s">
        <v>464</v>
      </c>
      <c r="L25" s="54"/>
      <c r="M25" s="54"/>
      <c r="N25" s="54" t="s">
        <v>465</v>
      </c>
      <c r="O25" s="54" t="s">
        <v>466</v>
      </c>
      <c r="P25" s="54" t="s">
        <v>467</v>
      </c>
      <c r="Q25" s="60" t="s">
        <v>474</v>
      </c>
      <c r="R25" s="60"/>
      <c r="S25" s="54" t="s">
        <v>477</v>
      </c>
      <c r="T25" s="54" t="s">
        <v>485</v>
      </c>
      <c r="U25" s="300" t="s">
        <v>341</v>
      </c>
    </row>
    <row r="26" spans="1:21" s="41" customFormat="1" ht="99.75" customHeight="1" x14ac:dyDescent="0.2">
      <c r="A26" s="55" t="s">
        <v>514</v>
      </c>
      <c r="B26" s="56" t="s">
        <v>515</v>
      </c>
      <c r="C26" s="55" t="s">
        <v>476</v>
      </c>
      <c r="D26" s="55"/>
      <c r="E26" s="55"/>
      <c r="F26" s="55"/>
      <c r="G26" s="55">
        <v>3.95</v>
      </c>
      <c r="H26" s="55">
        <v>43</v>
      </c>
      <c r="I26" s="55">
        <v>38</v>
      </c>
      <c r="J26" s="55">
        <v>42</v>
      </c>
      <c r="K26" s="55" t="s">
        <v>473</v>
      </c>
      <c r="L26" s="55"/>
      <c r="M26" s="55"/>
      <c r="N26" s="55" t="s">
        <v>484</v>
      </c>
      <c r="O26" s="55" t="s">
        <v>517</v>
      </c>
      <c r="P26" s="55" t="s">
        <v>483</v>
      </c>
      <c r="Q26" s="61" t="s">
        <v>414</v>
      </c>
      <c r="R26" s="61"/>
      <c r="S26" s="55" t="s">
        <v>518</v>
      </c>
      <c r="T26" s="57" t="s">
        <v>415</v>
      </c>
      <c r="U26" s="300"/>
    </row>
  </sheetData>
  <autoFilter ref="A1:U11"/>
  <mergeCells count="1">
    <mergeCell ref="U25:U26"/>
  </mergeCells>
  <phoneticPr fontId="14" type="noConversion"/>
  <pageMargins left="0.70866141732283472" right="0.70866141732283472" top="0.74803149606299213" bottom="0.74803149606299213" header="0.31496062992125984" footer="0.31496062992125984"/>
  <pageSetup paperSize="9" scale="79" orientation="landscape"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Split"/>
      <selection activeCell="D17" sqref="D17"/>
      <selection pane="bottomLeft" activeCell="M5" sqref="M5"/>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62.44140625" style="2" customWidth="1"/>
    <col min="14" max="14" width="10.33203125" style="2" customWidth="1"/>
    <col min="15" max="16384" width="11.44140625" style="2"/>
  </cols>
  <sheetData>
    <row r="1" spans="1:14"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1162</v>
      </c>
      <c r="N1" s="1" t="s">
        <v>1163</v>
      </c>
    </row>
    <row r="2" spans="1:14" ht="20.399999999999999" x14ac:dyDescent="0.25">
      <c r="A2" s="2">
        <v>1</v>
      </c>
      <c r="B2" s="2">
        <v>636</v>
      </c>
      <c r="C2" s="4">
        <v>40284</v>
      </c>
      <c r="D2" s="2" t="s">
        <v>417</v>
      </c>
      <c r="E2" s="2" t="s">
        <v>1650</v>
      </c>
      <c r="F2" s="2" t="s">
        <v>447</v>
      </c>
      <c r="G2" s="2">
        <v>5</v>
      </c>
      <c r="H2" s="2">
        <v>-6</v>
      </c>
      <c r="I2" s="2">
        <v>2187</v>
      </c>
      <c r="J2" s="2">
        <v>1100</v>
      </c>
      <c r="K2" s="2">
        <v>128</v>
      </c>
      <c r="M2" s="2" t="s">
        <v>451</v>
      </c>
    </row>
  </sheetData>
  <autoFilter ref="A1:N1"/>
  <phoneticPr fontId="14" type="noConversion"/>
  <pageMargins left="0.78740157499999996" right="0.78740157499999996" top="0.984251969" bottom="0.984251969" header="0.4921259845" footer="0.492125984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pane ySplit="1" topLeftCell="A2" activePane="bottomLeft" state="frozenSplit"/>
      <selection activeCell="D17" sqref="D17"/>
      <selection pane="bottomLeft" activeCell="F23" sqref="F23"/>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62.44140625" style="2" customWidth="1"/>
    <col min="14" max="14" width="10.33203125" style="2" customWidth="1"/>
    <col min="15" max="16384" width="11.44140625" style="2"/>
  </cols>
  <sheetData>
    <row r="1" spans="1:14"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1162</v>
      </c>
      <c r="N1" s="1" t="s">
        <v>1163</v>
      </c>
    </row>
    <row r="2" spans="1:14" x14ac:dyDescent="0.25">
      <c r="A2" s="2">
        <v>1</v>
      </c>
      <c r="B2" s="2">
        <v>621</v>
      </c>
      <c r="C2" s="4">
        <v>39862</v>
      </c>
      <c r="D2" s="2" t="s">
        <v>417</v>
      </c>
      <c r="E2" s="2" t="s">
        <v>612</v>
      </c>
      <c r="F2" s="2" t="s">
        <v>1786</v>
      </c>
      <c r="K2" s="2">
        <v>15</v>
      </c>
      <c r="M2" s="2" t="s">
        <v>1785</v>
      </c>
    </row>
    <row r="3" spans="1:14" ht="20.399999999999999" x14ac:dyDescent="0.25">
      <c r="A3" s="2">
        <v>1</v>
      </c>
      <c r="B3" s="2">
        <v>622</v>
      </c>
      <c r="C3" s="4">
        <v>39870</v>
      </c>
      <c r="D3" s="2" t="s">
        <v>417</v>
      </c>
      <c r="E3" s="2" t="s">
        <v>1650</v>
      </c>
      <c r="F3" s="2" t="s">
        <v>442</v>
      </c>
      <c r="G3" s="2">
        <v>4</v>
      </c>
      <c r="H3" s="2">
        <v>-5</v>
      </c>
      <c r="I3" s="2">
        <v>1065</v>
      </c>
      <c r="J3" s="2">
        <v>0</v>
      </c>
      <c r="K3" s="2">
        <v>30</v>
      </c>
      <c r="M3" s="2" t="s">
        <v>443</v>
      </c>
    </row>
    <row r="4" spans="1:14" ht="30.6" x14ac:dyDescent="0.25">
      <c r="A4" s="2">
        <v>1</v>
      </c>
      <c r="B4" s="2">
        <v>623</v>
      </c>
      <c r="C4" s="4">
        <v>39870</v>
      </c>
      <c r="D4" s="2" t="s">
        <v>417</v>
      </c>
      <c r="E4" s="2" t="s">
        <v>1650</v>
      </c>
      <c r="F4" s="2" t="s">
        <v>442</v>
      </c>
      <c r="G4" s="2">
        <v>4.2</v>
      </c>
      <c r="H4" s="2">
        <v>-4</v>
      </c>
      <c r="I4" s="2">
        <v>1362</v>
      </c>
      <c r="J4" s="2">
        <v>300</v>
      </c>
      <c r="K4" s="2">
        <v>134</v>
      </c>
      <c r="M4" s="2" t="s">
        <v>444</v>
      </c>
    </row>
    <row r="5" spans="1:14" ht="20.399999999999999" x14ac:dyDescent="0.25">
      <c r="A5" s="2">
        <v>1</v>
      </c>
      <c r="B5" s="2">
        <v>624</v>
      </c>
      <c r="C5" s="4">
        <v>39884</v>
      </c>
      <c r="D5" s="2" t="s">
        <v>1787</v>
      </c>
      <c r="E5" s="2" t="s">
        <v>1650</v>
      </c>
      <c r="F5" s="2" t="s">
        <v>1788</v>
      </c>
      <c r="K5" s="2">
        <v>15</v>
      </c>
      <c r="M5" s="2" t="s">
        <v>1790</v>
      </c>
    </row>
    <row r="6" spans="1:14" ht="20.399999999999999" x14ac:dyDescent="0.25">
      <c r="A6" s="2">
        <v>1</v>
      </c>
      <c r="B6" s="2">
        <v>625</v>
      </c>
      <c r="C6" s="4">
        <v>39884</v>
      </c>
      <c r="D6" s="2" t="s">
        <v>1787</v>
      </c>
      <c r="E6" s="2" t="s">
        <v>1650</v>
      </c>
      <c r="F6" s="2" t="s">
        <v>1788</v>
      </c>
      <c r="G6" s="2">
        <v>4</v>
      </c>
      <c r="H6" s="2">
        <v>-4</v>
      </c>
      <c r="I6" s="2">
        <v>1300</v>
      </c>
      <c r="J6" s="2">
        <v>212</v>
      </c>
      <c r="K6" s="2">
        <v>188</v>
      </c>
    </row>
    <row r="7" spans="1:14" ht="30.6" x14ac:dyDescent="0.25">
      <c r="A7" s="2">
        <v>1</v>
      </c>
      <c r="B7" s="2">
        <v>626</v>
      </c>
      <c r="C7" s="4">
        <v>39885</v>
      </c>
      <c r="D7" s="2" t="s">
        <v>417</v>
      </c>
      <c r="E7" s="2" t="s">
        <v>1650</v>
      </c>
      <c r="F7" s="2" t="s">
        <v>1789</v>
      </c>
      <c r="G7" s="2">
        <v>4.8</v>
      </c>
      <c r="H7" s="2">
        <v>-5</v>
      </c>
      <c r="I7" s="2">
        <v>1912</v>
      </c>
      <c r="J7" s="2">
        <v>803</v>
      </c>
      <c r="K7" s="2">
        <v>215</v>
      </c>
      <c r="L7" s="2">
        <v>22.9</v>
      </c>
      <c r="M7" s="2" t="s">
        <v>446</v>
      </c>
    </row>
    <row r="8" spans="1:14" x14ac:dyDescent="0.25">
      <c r="A8" s="2">
        <v>1</v>
      </c>
      <c r="B8" s="2">
        <v>627</v>
      </c>
      <c r="C8" s="4">
        <v>39891</v>
      </c>
      <c r="D8" s="2" t="s">
        <v>417</v>
      </c>
      <c r="E8" s="2" t="s">
        <v>1650</v>
      </c>
      <c r="K8" s="2">
        <v>17</v>
      </c>
    </row>
    <row r="9" spans="1:14" x14ac:dyDescent="0.25">
      <c r="A9" s="2">
        <v>1</v>
      </c>
      <c r="B9" s="2">
        <v>628</v>
      </c>
      <c r="C9" s="4">
        <v>39891</v>
      </c>
      <c r="D9" s="2" t="s">
        <v>417</v>
      </c>
      <c r="E9" s="2" t="s">
        <v>1650</v>
      </c>
      <c r="K9" s="2">
        <v>55</v>
      </c>
    </row>
    <row r="10" spans="1:14" x14ac:dyDescent="0.25">
      <c r="A10" s="2">
        <v>1</v>
      </c>
      <c r="B10" s="2">
        <v>629</v>
      </c>
      <c r="C10" s="4">
        <v>39902</v>
      </c>
      <c r="D10" s="2" t="s">
        <v>417</v>
      </c>
      <c r="E10" s="2" t="s">
        <v>1650</v>
      </c>
      <c r="K10" s="2">
        <v>65</v>
      </c>
    </row>
    <row r="11" spans="1:14" x14ac:dyDescent="0.25">
      <c r="A11" s="2">
        <v>1</v>
      </c>
      <c r="B11" s="2">
        <v>630</v>
      </c>
      <c r="C11" s="4">
        <v>39902</v>
      </c>
      <c r="D11" s="2" t="s">
        <v>417</v>
      </c>
      <c r="E11" s="2" t="s">
        <v>612</v>
      </c>
      <c r="K11" s="2">
        <v>5</v>
      </c>
    </row>
    <row r="12" spans="1:14" x14ac:dyDescent="0.25">
      <c r="A12" s="2">
        <v>1</v>
      </c>
      <c r="B12" s="2">
        <v>631</v>
      </c>
      <c r="C12" s="4">
        <v>39902</v>
      </c>
      <c r="D12" s="2" t="s">
        <v>417</v>
      </c>
      <c r="E12" s="2" t="s">
        <v>612</v>
      </c>
      <c r="K12" s="2">
        <v>7</v>
      </c>
    </row>
    <row r="13" spans="1:14" x14ac:dyDescent="0.25">
      <c r="A13" s="2">
        <v>1</v>
      </c>
      <c r="B13" s="2">
        <v>632</v>
      </c>
      <c r="C13" s="4">
        <v>39939</v>
      </c>
      <c r="D13" s="2" t="s">
        <v>417</v>
      </c>
      <c r="E13" s="2" t="s">
        <v>1650</v>
      </c>
      <c r="I13" s="2">
        <v>1650</v>
      </c>
      <c r="J13" s="2">
        <v>523</v>
      </c>
      <c r="K13" s="2">
        <v>156</v>
      </c>
    </row>
    <row r="14" spans="1:14" x14ac:dyDescent="0.25">
      <c r="A14" s="2">
        <v>1</v>
      </c>
      <c r="B14" s="2">
        <v>633</v>
      </c>
      <c r="C14" s="4">
        <v>39961</v>
      </c>
      <c r="D14" s="2" t="s">
        <v>417</v>
      </c>
      <c r="E14" s="2" t="s">
        <v>1550</v>
      </c>
      <c r="I14" s="2">
        <v>2750</v>
      </c>
      <c r="J14" s="2">
        <v>1050</v>
      </c>
      <c r="K14" s="2">
        <v>162</v>
      </c>
    </row>
    <row r="15" spans="1:14" x14ac:dyDescent="0.25">
      <c r="A15" s="2">
        <v>1</v>
      </c>
      <c r="B15" s="2">
        <v>634</v>
      </c>
      <c r="C15" s="4">
        <v>39987</v>
      </c>
      <c r="D15" s="2" t="s">
        <v>417</v>
      </c>
      <c r="E15" s="2" t="s">
        <v>1550</v>
      </c>
      <c r="G15" s="2">
        <v>4.5</v>
      </c>
      <c r="H15" s="2">
        <v>-5</v>
      </c>
      <c r="I15" s="2">
        <v>1680</v>
      </c>
      <c r="J15" s="2">
        <v>950</v>
      </c>
      <c r="K15" s="2">
        <v>314</v>
      </c>
    </row>
    <row r="16" spans="1:14" x14ac:dyDescent="0.25">
      <c r="A16" s="2">
        <v>1</v>
      </c>
      <c r="B16" s="2">
        <v>635</v>
      </c>
      <c r="C16" s="4">
        <v>38896</v>
      </c>
      <c r="D16" s="2" t="s">
        <v>417</v>
      </c>
      <c r="E16" s="2" t="s">
        <v>1550</v>
      </c>
      <c r="K16" s="2">
        <v>65</v>
      </c>
    </row>
    <row r="17" spans="11:11" x14ac:dyDescent="0.25">
      <c r="K17" s="2">
        <f>SUM(K2:K16)</f>
        <v>1443</v>
      </c>
    </row>
    <row r="18" spans="11:11" x14ac:dyDescent="0.25">
      <c r="K18" s="2">
        <f>K17/60</f>
        <v>24.05</v>
      </c>
    </row>
  </sheetData>
  <autoFilter ref="A1:N1"/>
  <phoneticPr fontId="0" type="noConversion"/>
  <pageMargins left="0.78740157499999996" right="0.78740157499999996" top="0.984251969" bottom="0.984251969" header="0.4921259845" footer="0.492125984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pane ySplit="1" topLeftCell="A8" activePane="bottomLeft" state="frozenSplit"/>
      <selection activeCell="D17" sqref="D17"/>
      <selection pane="bottomLeft" activeCell="D17" sqref="D17"/>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89.6640625" style="2" customWidth="1"/>
    <col min="14" max="14" width="10.33203125" style="2" customWidth="1"/>
    <col min="15" max="16384" width="11.44140625" style="2"/>
  </cols>
  <sheetData>
    <row r="1" spans="1:14"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1162</v>
      </c>
      <c r="N1" s="1" t="s">
        <v>1163</v>
      </c>
    </row>
    <row r="2" spans="1:14" x14ac:dyDescent="0.25">
      <c r="A2" s="2">
        <v>1</v>
      </c>
      <c r="B2" s="2">
        <v>599</v>
      </c>
      <c r="C2" s="4">
        <v>39486</v>
      </c>
      <c r="D2" s="2" t="s">
        <v>417</v>
      </c>
      <c r="E2" s="2" t="s">
        <v>574</v>
      </c>
      <c r="F2" s="2" t="s">
        <v>661</v>
      </c>
      <c r="K2" s="2">
        <v>10</v>
      </c>
    </row>
    <row r="3" spans="1:14" x14ac:dyDescent="0.25">
      <c r="A3" s="2">
        <v>1</v>
      </c>
      <c r="B3" s="2">
        <v>600</v>
      </c>
      <c r="C3" s="4">
        <v>39486</v>
      </c>
      <c r="D3" s="2" t="s">
        <v>417</v>
      </c>
      <c r="E3" s="2" t="s">
        <v>574</v>
      </c>
      <c r="F3" s="2" t="s">
        <v>661</v>
      </c>
      <c r="K3" s="2">
        <v>15</v>
      </c>
    </row>
    <row r="4" spans="1:14" x14ac:dyDescent="0.25">
      <c r="A4" s="2">
        <v>1</v>
      </c>
      <c r="B4" s="2">
        <v>601</v>
      </c>
      <c r="C4" s="4">
        <v>39486</v>
      </c>
      <c r="D4" s="2" t="s">
        <v>417</v>
      </c>
      <c r="E4" s="2" t="s">
        <v>574</v>
      </c>
      <c r="F4" s="2" t="s">
        <v>661</v>
      </c>
      <c r="K4" s="2">
        <v>15</v>
      </c>
    </row>
    <row r="5" spans="1:14" ht="51" x14ac:dyDescent="0.25">
      <c r="A5" s="2">
        <v>1</v>
      </c>
      <c r="B5" s="2">
        <v>602</v>
      </c>
      <c r="C5" s="4">
        <v>39494</v>
      </c>
      <c r="D5" s="2" t="s">
        <v>417</v>
      </c>
      <c r="E5" s="2" t="s">
        <v>1650</v>
      </c>
      <c r="F5" s="2" t="s">
        <v>661</v>
      </c>
      <c r="G5" s="2">
        <v>5</v>
      </c>
      <c r="H5" s="2">
        <v>-10</v>
      </c>
      <c r="I5" s="2">
        <v>1332</v>
      </c>
      <c r="J5" s="2">
        <v>212</v>
      </c>
      <c r="K5" s="2">
        <v>131</v>
      </c>
      <c r="M5" s="2" t="s">
        <v>1777</v>
      </c>
    </row>
    <row r="6" spans="1:14" ht="30.6" x14ac:dyDescent="0.25">
      <c r="A6" s="2">
        <v>1</v>
      </c>
      <c r="B6" s="2">
        <v>603</v>
      </c>
      <c r="C6" s="4">
        <v>39500</v>
      </c>
      <c r="D6" s="2" t="s">
        <v>417</v>
      </c>
      <c r="E6" s="2" t="s">
        <v>1620</v>
      </c>
      <c r="K6" s="2">
        <v>77</v>
      </c>
      <c r="M6" s="2" t="s">
        <v>437</v>
      </c>
    </row>
    <row r="7" spans="1:14" ht="255.75" customHeight="1" x14ac:dyDescent="0.25">
      <c r="A7" s="2">
        <v>1</v>
      </c>
      <c r="B7" s="2">
        <v>604</v>
      </c>
      <c r="C7" s="4">
        <v>39521</v>
      </c>
      <c r="D7" s="2" t="s">
        <v>417</v>
      </c>
      <c r="E7" s="2" t="s">
        <v>1650</v>
      </c>
      <c r="F7" s="2" t="s">
        <v>1778</v>
      </c>
      <c r="G7" s="2">
        <v>4</v>
      </c>
      <c r="H7" s="2">
        <v>-6</v>
      </c>
      <c r="I7" s="2">
        <v>1360</v>
      </c>
      <c r="J7" s="2">
        <v>230</v>
      </c>
      <c r="K7" s="2">
        <v>98</v>
      </c>
      <c r="M7" s="2" t="s">
        <v>1780</v>
      </c>
    </row>
    <row r="8" spans="1:14" ht="30.6" x14ac:dyDescent="0.25">
      <c r="A8" s="2">
        <v>1</v>
      </c>
      <c r="B8" s="2">
        <v>605</v>
      </c>
      <c r="C8" s="4">
        <v>39521</v>
      </c>
      <c r="D8" s="2" t="s">
        <v>417</v>
      </c>
      <c r="E8" s="2" t="s">
        <v>1650</v>
      </c>
      <c r="F8" s="2" t="s">
        <v>1778</v>
      </c>
      <c r="G8" s="2">
        <v>5</v>
      </c>
      <c r="H8" s="2">
        <v>-5</v>
      </c>
      <c r="I8" s="2">
        <v>1640</v>
      </c>
      <c r="J8" s="2">
        <v>510</v>
      </c>
      <c r="K8" s="2">
        <v>94</v>
      </c>
      <c r="L8" s="2">
        <v>21.5</v>
      </c>
    </row>
    <row r="9" spans="1:14" x14ac:dyDescent="0.25">
      <c r="A9" s="2">
        <v>1</v>
      </c>
      <c r="B9" s="2">
        <v>606</v>
      </c>
      <c r="C9" s="4">
        <v>39522</v>
      </c>
      <c r="D9" s="2" t="s">
        <v>417</v>
      </c>
      <c r="E9" s="2" t="s">
        <v>1650</v>
      </c>
      <c r="F9" s="2" t="s">
        <v>1779</v>
      </c>
      <c r="K9" s="2">
        <v>30</v>
      </c>
    </row>
    <row r="10" spans="1:14" x14ac:dyDescent="0.25">
      <c r="A10" s="2">
        <v>1</v>
      </c>
      <c r="B10" s="2">
        <v>607</v>
      </c>
      <c r="C10" s="4">
        <v>39522</v>
      </c>
      <c r="D10" s="2" t="s">
        <v>417</v>
      </c>
      <c r="E10" s="2" t="s">
        <v>1650</v>
      </c>
      <c r="F10" s="2" t="s">
        <v>1779</v>
      </c>
      <c r="G10" s="2">
        <v>4</v>
      </c>
      <c r="H10" s="2">
        <v>-4</v>
      </c>
      <c r="I10" s="2">
        <v>1430</v>
      </c>
      <c r="J10" s="2">
        <v>300</v>
      </c>
      <c r="K10" s="2">
        <v>59</v>
      </c>
    </row>
    <row r="11" spans="1:14" ht="20.399999999999999" x14ac:dyDescent="0.25">
      <c r="A11" s="2">
        <v>1</v>
      </c>
      <c r="B11" s="2">
        <v>608</v>
      </c>
      <c r="C11" s="4">
        <v>39539</v>
      </c>
      <c r="D11" s="2" t="s">
        <v>417</v>
      </c>
      <c r="E11" s="2" t="s">
        <v>1650</v>
      </c>
      <c r="F11" s="2" t="s">
        <v>438</v>
      </c>
      <c r="K11" s="2">
        <v>20</v>
      </c>
      <c r="M11" s="2" t="s">
        <v>439</v>
      </c>
    </row>
    <row r="12" spans="1:14" ht="20.399999999999999" x14ac:dyDescent="0.25">
      <c r="A12" s="2">
        <v>1</v>
      </c>
      <c r="B12" s="2">
        <v>609</v>
      </c>
      <c r="C12" s="4">
        <v>39542</v>
      </c>
      <c r="D12" s="2" t="s">
        <v>417</v>
      </c>
      <c r="E12" s="2" t="s">
        <v>612</v>
      </c>
      <c r="F12" s="2" t="s">
        <v>438</v>
      </c>
      <c r="K12" s="2">
        <v>60</v>
      </c>
    </row>
    <row r="13" spans="1:14" ht="30.6" x14ac:dyDescent="0.25">
      <c r="A13" s="2">
        <v>1</v>
      </c>
      <c r="B13" s="2">
        <v>610</v>
      </c>
      <c r="C13" s="4">
        <v>39542</v>
      </c>
      <c r="D13" s="2" t="s">
        <v>417</v>
      </c>
      <c r="E13" s="2" t="s">
        <v>1650</v>
      </c>
      <c r="F13" s="2" t="s">
        <v>1781</v>
      </c>
      <c r="G13" s="2">
        <v>5</v>
      </c>
      <c r="H13" s="2">
        <v>-5</v>
      </c>
      <c r="I13" s="2">
        <v>1840</v>
      </c>
      <c r="J13" s="2">
        <v>700</v>
      </c>
      <c r="K13" s="2">
        <v>105</v>
      </c>
      <c r="L13" s="2">
        <v>22</v>
      </c>
      <c r="M13" s="2" t="s">
        <v>1782</v>
      </c>
    </row>
    <row r="14" spans="1:14" ht="40.799999999999997" x14ac:dyDescent="0.25">
      <c r="A14" s="2">
        <v>1</v>
      </c>
      <c r="B14" s="2">
        <v>611</v>
      </c>
      <c r="C14" s="4">
        <v>39542</v>
      </c>
      <c r="D14" s="2" t="s">
        <v>417</v>
      </c>
      <c r="E14" s="2" t="s">
        <v>1650</v>
      </c>
      <c r="F14" s="2" t="s">
        <v>1781</v>
      </c>
      <c r="G14" s="2">
        <v>5</v>
      </c>
      <c r="H14" s="2">
        <v>-5</v>
      </c>
      <c r="I14" s="2">
        <v>1680</v>
      </c>
      <c r="J14" s="2">
        <v>500</v>
      </c>
      <c r="K14" s="2">
        <v>110</v>
      </c>
      <c r="L14" s="2">
        <v>25</v>
      </c>
      <c r="M14" s="2" t="s">
        <v>440</v>
      </c>
    </row>
    <row r="15" spans="1:14" x14ac:dyDescent="0.25">
      <c r="A15" s="2">
        <v>1</v>
      </c>
      <c r="B15" s="2">
        <v>612</v>
      </c>
      <c r="C15" s="4">
        <v>39562</v>
      </c>
      <c r="D15" s="2" t="s">
        <v>417</v>
      </c>
      <c r="E15" s="2" t="s">
        <v>1650</v>
      </c>
      <c r="G15" s="2">
        <v>6</v>
      </c>
      <c r="H15" s="2">
        <v>-5</v>
      </c>
      <c r="I15" s="2">
        <v>2530</v>
      </c>
      <c r="J15" s="2">
        <v>1000</v>
      </c>
      <c r="K15" s="2">
        <v>115</v>
      </c>
    </row>
    <row r="16" spans="1:14" x14ac:dyDescent="0.25">
      <c r="A16" s="2">
        <v>1</v>
      </c>
      <c r="B16" s="2">
        <v>613</v>
      </c>
      <c r="C16" s="4">
        <v>39581</v>
      </c>
      <c r="D16" s="2" t="s">
        <v>417</v>
      </c>
      <c r="E16" s="2" t="s">
        <v>1650</v>
      </c>
      <c r="G16" s="2">
        <v>5</v>
      </c>
      <c r="H16" s="2">
        <v>-5</v>
      </c>
      <c r="I16" s="2">
        <v>2345</v>
      </c>
      <c r="J16" s="2">
        <v>890</v>
      </c>
      <c r="K16" s="2">
        <v>180</v>
      </c>
      <c r="L16" s="2">
        <v>37</v>
      </c>
      <c r="M16" s="2" t="s">
        <v>1783</v>
      </c>
    </row>
    <row r="17" spans="1:13" x14ac:dyDescent="0.25">
      <c r="A17" s="2">
        <v>1</v>
      </c>
      <c r="B17" s="2">
        <v>614</v>
      </c>
      <c r="C17" s="4">
        <v>39589</v>
      </c>
      <c r="D17" s="2" t="s">
        <v>417</v>
      </c>
      <c r="E17" s="2" t="s">
        <v>1650</v>
      </c>
      <c r="G17" s="2">
        <v>5.5</v>
      </c>
      <c r="H17" s="2">
        <v>-5</v>
      </c>
      <c r="I17" s="2">
        <v>1337</v>
      </c>
      <c r="J17" s="2">
        <v>200</v>
      </c>
      <c r="K17" s="2">
        <v>44</v>
      </c>
    </row>
    <row r="18" spans="1:13" x14ac:dyDescent="0.25">
      <c r="A18" s="2">
        <v>1</v>
      </c>
      <c r="B18" s="2">
        <v>615</v>
      </c>
      <c r="C18" s="4">
        <v>39589</v>
      </c>
      <c r="D18" s="2" t="s">
        <v>417</v>
      </c>
      <c r="E18" s="2" t="s">
        <v>612</v>
      </c>
      <c r="G18" s="2">
        <v>2</v>
      </c>
      <c r="H18" s="2">
        <v>-4</v>
      </c>
      <c r="I18" s="2">
        <v>376</v>
      </c>
      <c r="J18" s="2">
        <v>35</v>
      </c>
      <c r="K18" s="2">
        <v>7</v>
      </c>
    </row>
    <row r="19" spans="1:13" x14ac:dyDescent="0.25">
      <c r="A19" s="2">
        <v>1</v>
      </c>
      <c r="B19" s="2">
        <v>616</v>
      </c>
      <c r="C19" s="4">
        <v>39597</v>
      </c>
      <c r="D19" s="2" t="s">
        <v>417</v>
      </c>
      <c r="E19" s="2" t="s">
        <v>1650</v>
      </c>
      <c r="G19" s="2">
        <v>5</v>
      </c>
      <c r="H19" s="2">
        <v>-5</v>
      </c>
      <c r="I19" s="2">
        <v>1850</v>
      </c>
      <c r="J19" s="2">
        <v>1530</v>
      </c>
      <c r="K19" s="2">
        <v>120</v>
      </c>
      <c r="L19" s="2">
        <v>24</v>
      </c>
      <c r="M19" s="2" t="s">
        <v>1784</v>
      </c>
    </row>
    <row r="20" spans="1:13" x14ac:dyDescent="0.25">
      <c r="A20" s="2">
        <v>1</v>
      </c>
      <c r="B20" s="2">
        <v>617</v>
      </c>
      <c r="C20" s="4">
        <v>39604</v>
      </c>
      <c r="D20" s="2" t="s">
        <v>417</v>
      </c>
      <c r="E20" s="2" t="s">
        <v>612</v>
      </c>
      <c r="K20" s="2">
        <v>6</v>
      </c>
    </row>
    <row r="21" spans="1:13" x14ac:dyDescent="0.25">
      <c r="A21" s="2">
        <v>1</v>
      </c>
      <c r="B21" s="2">
        <v>618</v>
      </c>
      <c r="C21" s="4">
        <v>39604</v>
      </c>
      <c r="D21" s="2" t="s">
        <v>417</v>
      </c>
      <c r="E21" s="2" t="s">
        <v>612</v>
      </c>
      <c r="K21" s="2">
        <v>45</v>
      </c>
    </row>
    <row r="22" spans="1:13" x14ac:dyDescent="0.25">
      <c r="A22" s="2">
        <v>1</v>
      </c>
      <c r="B22" s="2">
        <v>619</v>
      </c>
      <c r="C22" s="4">
        <v>39604</v>
      </c>
      <c r="D22" s="2" t="s">
        <v>417</v>
      </c>
      <c r="E22" s="2" t="s">
        <v>612</v>
      </c>
      <c r="K22" s="2">
        <v>25</v>
      </c>
    </row>
    <row r="23" spans="1:13" x14ac:dyDescent="0.25">
      <c r="A23" s="2">
        <v>1</v>
      </c>
      <c r="B23" s="2">
        <v>620</v>
      </c>
      <c r="C23" s="4">
        <v>39617</v>
      </c>
      <c r="K23" s="2">
        <v>120</v>
      </c>
    </row>
    <row r="24" spans="1:13" x14ac:dyDescent="0.25">
      <c r="A24" s="2">
        <v>1</v>
      </c>
      <c r="B24" s="2">
        <v>621</v>
      </c>
      <c r="C24" s="4">
        <v>39727</v>
      </c>
      <c r="D24" s="2" t="s">
        <v>417</v>
      </c>
      <c r="E24" s="2" t="s">
        <v>1650</v>
      </c>
      <c r="G24" s="2">
        <v>4</v>
      </c>
      <c r="H24" s="2">
        <v>-4</v>
      </c>
      <c r="I24" s="2">
        <v>1700</v>
      </c>
      <c r="J24" s="2">
        <v>599</v>
      </c>
      <c r="K24" s="2">
        <v>100</v>
      </c>
    </row>
  </sheetData>
  <autoFilter ref="A1:N24"/>
  <phoneticPr fontId="0" type="noConversion"/>
  <pageMargins left="0.78740157499999996" right="0.78740157499999996" top="0.984251969" bottom="0.984251969" header="0.4921259845" footer="0.492125984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workbookViewId="0">
      <pane ySplit="1" topLeftCell="A2" activePane="bottomLeft" state="frozenSplit"/>
      <selection activeCell="D17" sqref="D17"/>
      <selection pane="bottomLeft" activeCell="D17" sqref="D17"/>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62.44140625" style="2" customWidth="1"/>
    <col min="14" max="14" width="10.33203125" style="2" customWidth="1"/>
    <col min="15" max="16384" width="11.44140625" style="2"/>
  </cols>
  <sheetData>
    <row r="1" spans="1:14"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1162</v>
      </c>
      <c r="N1" s="1" t="s">
        <v>1163</v>
      </c>
    </row>
    <row r="2" spans="1:14" ht="51" x14ac:dyDescent="0.25">
      <c r="A2" s="2">
        <v>1</v>
      </c>
      <c r="B2" s="2">
        <v>571</v>
      </c>
      <c r="C2" s="4">
        <v>39105</v>
      </c>
      <c r="D2" s="2" t="s">
        <v>417</v>
      </c>
      <c r="E2" s="2" t="s">
        <v>692</v>
      </c>
      <c r="F2" s="2" t="s">
        <v>424</v>
      </c>
      <c r="G2" s="2">
        <v>4</v>
      </c>
      <c r="H2" s="2">
        <v>-4</v>
      </c>
      <c r="I2" s="2">
        <v>1600</v>
      </c>
      <c r="J2" s="2">
        <v>0</v>
      </c>
      <c r="K2" s="2">
        <v>60</v>
      </c>
      <c r="L2" s="2">
        <v>0</v>
      </c>
      <c r="M2" s="2" t="s">
        <v>1769</v>
      </c>
    </row>
    <row r="3" spans="1:14" ht="20.399999999999999" x14ac:dyDescent="0.25">
      <c r="A3" s="2">
        <v>1</v>
      </c>
      <c r="B3" s="2">
        <v>572</v>
      </c>
      <c r="C3" s="4">
        <v>39142</v>
      </c>
      <c r="D3" s="2" t="s">
        <v>417</v>
      </c>
      <c r="E3" s="2" t="s">
        <v>423</v>
      </c>
      <c r="F3" s="2" t="s">
        <v>1758</v>
      </c>
      <c r="G3" s="2">
        <v>0</v>
      </c>
      <c r="H3" s="2">
        <v>-1</v>
      </c>
      <c r="I3" s="2">
        <v>500</v>
      </c>
      <c r="J3" s="2">
        <v>0</v>
      </c>
      <c r="K3" s="2">
        <v>5</v>
      </c>
      <c r="L3" s="2">
        <v>0</v>
      </c>
      <c r="M3" s="2" t="s">
        <v>1770</v>
      </c>
    </row>
    <row r="4" spans="1:14" ht="81.75" customHeight="1" x14ac:dyDescent="0.25">
      <c r="A4" s="2">
        <v>1</v>
      </c>
      <c r="B4" s="2">
        <v>573</v>
      </c>
      <c r="C4" s="4">
        <v>39153</v>
      </c>
      <c r="D4" s="2" t="s">
        <v>417</v>
      </c>
      <c r="E4" s="2" t="s">
        <v>1650</v>
      </c>
      <c r="F4" s="2" t="s">
        <v>1768</v>
      </c>
      <c r="G4" s="2">
        <v>4</v>
      </c>
      <c r="H4" s="2">
        <v>-4</v>
      </c>
      <c r="I4" s="2">
        <v>1850</v>
      </c>
      <c r="J4" s="2">
        <v>500</v>
      </c>
      <c r="K4" s="2">
        <v>68</v>
      </c>
      <c r="L4" s="2">
        <v>15</v>
      </c>
      <c r="M4" s="2" t="s">
        <v>1771</v>
      </c>
    </row>
    <row r="5" spans="1:14" ht="30.6" x14ac:dyDescent="0.25">
      <c r="A5" s="2">
        <v>1</v>
      </c>
      <c r="B5" s="2">
        <v>574</v>
      </c>
      <c r="C5" s="4">
        <v>39158</v>
      </c>
      <c r="D5" s="2" t="s">
        <v>417</v>
      </c>
      <c r="E5" s="2" t="s">
        <v>612</v>
      </c>
      <c r="F5" s="2" t="s">
        <v>425</v>
      </c>
      <c r="G5" s="2">
        <v>4</v>
      </c>
      <c r="H5" s="2">
        <v>-4</v>
      </c>
      <c r="J5" s="2">
        <v>400</v>
      </c>
      <c r="K5" s="2">
        <v>20</v>
      </c>
      <c r="M5" s="2" t="s">
        <v>426</v>
      </c>
    </row>
    <row r="6" spans="1:14" x14ac:dyDescent="0.25">
      <c r="A6" s="2">
        <v>1</v>
      </c>
      <c r="B6" s="2">
        <v>575</v>
      </c>
      <c r="C6" s="4">
        <v>39177</v>
      </c>
      <c r="D6" s="2" t="s">
        <v>417</v>
      </c>
      <c r="K6" s="2">
        <v>20</v>
      </c>
    </row>
    <row r="7" spans="1:14" x14ac:dyDescent="0.25">
      <c r="A7" s="2">
        <v>1</v>
      </c>
      <c r="B7" s="2">
        <v>576</v>
      </c>
      <c r="C7" s="4">
        <v>39177</v>
      </c>
      <c r="D7" s="2" t="s">
        <v>417</v>
      </c>
      <c r="K7" s="2">
        <v>21</v>
      </c>
    </row>
    <row r="8" spans="1:14" x14ac:dyDescent="0.25">
      <c r="A8" s="2">
        <v>1</v>
      </c>
      <c r="B8" s="2">
        <v>577</v>
      </c>
      <c r="C8" s="4">
        <v>39190</v>
      </c>
      <c r="D8" s="2" t="s">
        <v>417</v>
      </c>
      <c r="E8" s="2" t="s">
        <v>1650</v>
      </c>
      <c r="G8" s="2">
        <v>3.5</v>
      </c>
      <c r="H8" s="2">
        <v>-4</v>
      </c>
      <c r="I8" s="2">
        <v>1360</v>
      </c>
      <c r="J8" s="2">
        <v>250</v>
      </c>
      <c r="K8" s="2">
        <v>65</v>
      </c>
    </row>
    <row r="9" spans="1:14" x14ac:dyDescent="0.25">
      <c r="A9" s="2">
        <v>1</v>
      </c>
      <c r="B9" s="2">
        <v>578</v>
      </c>
      <c r="C9" s="4">
        <v>39191</v>
      </c>
      <c r="D9" s="2" t="s">
        <v>417</v>
      </c>
      <c r="E9" s="2" t="s">
        <v>1650</v>
      </c>
      <c r="G9" s="2">
        <v>5</v>
      </c>
      <c r="H9" s="2">
        <v>-5</v>
      </c>
      <c r="I9" s="2">
        <v>2366</v>
      </c>
      <c r="J9" s="2">
        <v>800</v>
      </c>
      <c r="K9" s="2">
        <v>157</v>
      </c>
      <c r="L9" s="2">
        <v>23</v>
      </c>
      <c r="M9" s="2" t="s">
        <v>1773</v>
      </c>
    </row>
    <row r="10" spans="1:14" x14ac:dyDescent="0.25">
      <c r="A10" s="2">
        <v>1</v>
      </c>
      <c r="B10" s="2">
        <v>579</v>
      </c>
      <c r="C10" s="4">
        <v>39195</v>
      </c>
      <c r="D10" s="2" t="s">
        <v>417</v>
      </c>
      <c r="E10" s="2" t="s">
        <v>1550</v>
      </c>
      <c r="G10" s="2">
        <v>6</v>
      </c>
      <c r="H10" s="2">
        <v>-10</v>
      </c>
      <c r="I10" s="2">
        <v>3100</v>
      </c>
      <c r="J10" s="2">
        <v>1380</v>
      </c>
      <c r="K10" s="2">
        <v>224</v>
      </c>
      <c r="L10" s="2">
        <v>50</v>
      </c>
      <c r="M10" s="2" t="s">
        <v>1772</v>
      </c>
    </row>
    <row r="11" spans="1:14" x14ac:dyDescent="0.25">
      <c r="A11" s="2">
        <v>1</v>
      </c>
      <c r="B11" s="2">
        <v>580</v>
      </c>
      <c r="C11" s="4">
        <v>39211</v>
      </c>
      <c r="D11" s="2" t="s">
        <v>417</v>
      </c>
      <c r="E11" s="2" t="s">
        <v>612</v>
      </c>
      <c r="G11" s="2">
        <v>4</v>
      </c>
      <c r="H11" s="2">
        <v>-4</v>
      </c>
      <c r="I11" s="2">
        <v>540</v>
      </c>
      <c r="J11" s="2">
        <v>226</v>
      </c>
      <c r="K11" s="2">
        <v>68</v>
      </c>
      <c r="M11" s="2" t="s">
        <v>431</v>
      </c>
    </row>
    <row r="12" spans="1:14" ht="20.399999999999999" x14ac:dyDescent="0.25">
      <c r="A12" s="2">
        <v>1</v>
      </c>
      <c r="B12" s="2">
        <v>581</v>
      </c>
      <c r="C12" s="4">
        <v>39220</v>
      </c>
      <c r="D12" s="2" t="s">
        <v>417</v>
      </c>
      <c r="E12" s="2" t="s">
        <v>427</v>
      </c>
      <c r="G12" s="2">
        <v>5</v>
      </c>
      <c r="H12" s="2">
        <v>-5</v>
      </c>
      <c r="I12" s="2">
        <v>2340</v>
      </c>
      <c r="J12" s="2">
        <v>950</v>
      </c>
      <c r="K12" s="2">
        <v>80</v>
      </c>
    </row>
    <row r="13" spans="1:14" x14ac:dyDescent="0.25">
      <c r="A13" s="2">
        <v>1</v>
      </c>
      <c r="B13" s="2">
        <v>582</v>
      </c>
      <c r="C13" s="4">
        <v>39241</v>
      </c>
      <c r="D13" s="2" t="s">
        <v>417</v>
      </c>
      <c r="E13" s="2" t="s">
        <v>1650</v>
      </c>
      <c r="G13" s="2">
        <v>4</v>
      </c>
      <c r="H13" s="2">
        <v>-5</v>
      </c>
      <c r="K13" s="2">
        <v>26</v>
      </c>
    </row>
    <row r="14" spans="1:14" x14ac:dyDescent="0.25">
      <c r="A14" s="2">
        <v>1</v>
      </c>
      <c r="B14" s="2">
        <v>583</v>
      </c>
      <c r="C14" s="4">
        <v>39238</v>
      </c>
      <c r="D14" s="2" t="s">
        <v>417</v>
      </c>
      <c r="E14" s="2" t="s">
        <v>1650</v>
      </c>
      <c r="G14" s="2">
        <v>4</v>
      </c>
      <c r="H14" s="2">
        <v>-5</v>
      </c>
      <c r="I14" s="2">
        <v>1550</v>
      </c>
      <c r="J14" s="2">
        <v>430</v>
      </c>
      <c r="K14" s="2">
        <v>106</v>
      </c>
      <c r="L14" s="2">
        <v>16.5</v>
      </c>
    </row>
    <row r="15" spans="1:14" x14ac:dyDescent="0.25">
      <c r="A15" s="2">
        <v>1</v>
      </c>
      <c r="B15" s="2">
        <v>584</v>
      </c>
      <c r="C15" s="4">
        <v>39249</v>
      </c>
      <c r="D15" s="2" t="s">
        <v>428</v>
      </c>
      <c r="E15" s="2" t="s">
        <v>1650</v>
      </c>
      <c r="K15" s="2">
        <v>10</v>
      </c>
      <c r="M15" s="2" t="s">
        <v>429</v>
      </c>
    </row>
    <row r="16" spans="1:14" ht="20.399999999999999" x14ac:dyDescent="0.25">
      <c r="A16" s="2">
        <v>1</v>
      </c>
      <c r="B16" s="2">
        <v>585</v>
      </c>
      <c r="C16" s="4">
        <v>39249</v>
      </c>
      <c r="D16" s="2" t="s">
        <v>428</v>
      </c>
      <c r="E16" s="2" t="s">
        <v>1650</v>
      </c>
      <c r="K16" s="2">
        <v>30</v>
      </c>
      <c r="M16" s="2" t="s">
        <v>430</v>
      </c>
    </row>
    <row r="17" spans="1:13" ht="20.399999999999999" x14ac:dyDescent="0.25">
      <c r="A17" s="2">
        <v>1</v>
      </c>
      <c r="B17" s="2">
        <v>586</v>
      </c>
      <c r="C17" s="4">
        <v>39293</v>
      </c>
      <c r="D17" s="2" t="s">
        <v>417</v>
      </c>
      <c r="E17" s="2" t="s">
        <v>1550</v>
      </c>
      <c r="F17" s="2" t="s">
        <v>1774</v>
      </c>
      <c r="G17" s="2">
        <v>2</v>
      </c>
      <c r="H17" s="2">
        <v>-6</v>
      </c>
      <c r="K17" s="2">
        <v>18</v>
      </c>
    </row>
    <row r="18" spans="1:13" x14ac:dyDescent="0.25">
      <c r="A18" s="2">
        <v>1</v>
      </c>
      <c r="B18" s="2">
        <v>587</v>
      </c>
      <c r="C18" s="4">
        <v>39293</v>
      </c>
      <c r="D18" s="2" t="s">
        <v>417</v>
      </c>
      <c r="E18" s="2" t="s">
        <v>1775</v>
      </c>
      <c r="F18" s="2" t="s">
        <v>425</v>
      </c>
      <c r="K18" s="2">
        <v>3</v>
      </c>
    </row>
    <row r="19" spans="1:13" ht="20.399999999999999" x14ac:dyDescent="0.25">
      <c r="A19" s="2">
        <v>1</v>
      </c>
      <c r="B19" s="2">
        <v>588</v>
      </c>
      <c r="C19" s="4">
        <v>39293</v>
      </c>
      <c r="D19" s="2" t="s">
        <v>417</v>
      </c>
      <c r="E19" s="2" t="s">
        <v>1775</v>
      </c>
      <c r="F19" s="2" t="s">
        <v>425</v>
      </c>
      <c r="G19" s="2">
        <v>3</v>
      </c>
      <c r="I19" s="2">
        <v>813</v>
      </c>
      <c r="J19" s="2">
        <v>200</v>
      </c>
      <c r="K19" s="2">
        <v>35</v>
      </c>
      <c r="M19" s="2" t="s">
        <v>1776</v>
      </c>
    </row>
    <row r="20" spans="1:13" x14ac:dyDescent="0.25">
      <c r="A20" s="2">
        <v>1</v>
      </c>
      <c r="B20" s="2">
        <v>589</v>
      </c>
      <c r="D20" s="2" t="s">
        <v>428</v>
      </c>
      <c r="K20" s="2">
        <v>10</v>
      </c>
      <c r="M20" s="2" t="s">
        <v>429</v>
      </c>
    </row>
    <row r="21" spans="1:13" x14ac:dyDescent="0.25">
      <c r="A21" s="2">
        <v>1</v>
      </c>
      <c r="B21" s="2">
        <v>590</v>
      </c>
      <c r="D21" s="2" t="s">
        <v>428</v>
      </c>
      <c r="K21" s="2">
        <v>10</v>
      </c>
      <c r="M21" s="2" t="s">
        <v>432</v>
      </c>
    </row>
    <row r="22" spans="1:13" x14ac:dyDescent="0.25">
      <c r="A22" s="2">
        <v>1</v>
      </c>
      <c r="B22" s="2">
        <v>591</v>
      </c>
      <c r="C22" s="4">
        <v>39320</v>
      </c>
      <c r="D22" s="2" t="s">
        <v>417</v>
      </c>
      <c r="G22" s="2">
        <v>2</v>
      </c>
      <c r="H22" s="2">
        <v>-6</v>
      </c>
      <c r="K22" s="2">
        <v>12</v>
      </c>
    </row>
    <row r="23" spans="1:13" x14ac:dyDescent="0.25">
      <c r="A23" s="2">
        <v>1</v>
      </c>
      <c r="B23" s="2">
        <v>592</v>
      </c>
      <c r="C23" s="4">
        <v>39320</v>
      </c>
      <c r="D23" s="2" t="s">
        <v>417</v>
      </c>
      <c r="E23" s="2" t="s">
        <v>1650</v>
      </c>
      <c r="G23" s="2">
        <v>3</v>
      </c>
      <c r="H23" s="2">
        <v>-9</v>
      </c>
      <c r="I23" s="2">
        <v>1306</v>
      </c>
      <c r="K23" s="2">
        <v>71</v>
      </c>
    </row>
    <row r="24" spans="1:13" x14ac:dyDescent="0.25">
      <c r="A24" s="2">
        <v>1</v>
      </c>
      <c r="B24" s="2">
        <v>593</v>
      </c>
      <c r="C24" s="4">
        <v>39325</v>
      </c>
      <c r="D24" s="2" t="s">
        <v>417</v>
      </c>
      <c r="E24" s="2" t="s">
        <v>1650</v>
      </c>
      <c r="G24" s="2">
        <v>4</v>
      </c>
      <c r="H24" s="2">
        <v>-4</v>
      </c>
      <c r="I24" s="2">
        <v>1780</v>
      </c>
      <c r="K24" s="2">
        <v>105</v>
      </c>
      <c r="L24" s="2">
        <v>20</v>
      </c>
      <c r="M24" s="2" t="s">
        <v>436</v>
      </c>
    </row>
    <row r="25" spans="1:13" x14ac:dyDescent="0.25">
      <c r="A25" s="2">
        <v>1</v>
      </c>
      <c r="B25" s="2">
        <v>594</v>
      </c>
      <c r="C25" s="4">
        <v>39327</v>
      </c>
      <c r="D25" s="2" t="s">
        <v>428</v>
      </c>
      <c r="E25" s="2" t="s">
        <v>574</v>
      </c>
      <c r="K25" s="2">
        <v>15</v>
      </c>
      <c r="M25" s="2" t="s">
        <v>429</v>
      </c>
    </row>
    <row r="26" spans="1:13" ht="30.6" x14ac:dyDescent="0.25">
      <c r="A26" s="2">
        <v>1</v>
      </c>
      <c r="B26" s="2">
        <v>595</v>
      </c>
      <c r="C26" s="4">
        <v>39330</v>
      </c>
      <c r="D26" s="2" t="s">
        <v>417</v>
      </c>
      <c r="E26" s="2" t="s">
        <v>1650</v>
      </c>
      <c r="F26" s="2" t="s">
        <v>434</v>
      </c>
      <c r="G26" s="2">
        <v>4</v>
      </c>
      <c r="H26" s="2">
        <v>-5</v>
      </c>
      <c r="I26" s="2">
        <v>1130</v>
      </c>
      <c r="K26" s="2">
        <v>40</v>
      </c>
      <c r="M26" s="2" t="s">
        <v>433</v>
      </c>
    </row>
    <row r="27" spans="1:13" ht="30.6" x14ac:dyDescent="0.25">
      <c r="A27" s="2">
        <v>1</v>
      </c>
      <c r="B27" s="2">
        <v>596</v>
      </c>
      <c r="C27" s="4">
        <v>39330</v>
      </c>
      <c r="D27" s="2" t="s">
        <v>417</v>
      </c>
      <c r="E27" s="2" t="s">
        <v>1650</v>
      </c>
      <c r="F27" s="2" t="s">
        <v>434</v>
      </c>
      <c r="G27" s="2">
        <v>4</v>
      </c>
      <c r="H27" s="2">
        <v>-5</v>
      </c>
      <c r="I27" s="2">
        <v>1445</v>
      </c>
      <c r="J27" s="2">
        <v>330</v>
      </c>
      <c r="K27" s="2">
        <v>130</v>
      </c>
      <c r="L27" s="2">
        <v>15</v>
      </c>
      <c r="M27" s="2" t="s">
        <v>435</v>
      </c>
    </row>
    <row r="28" spans="1:13" x14ac:dyDescent="0.25">
      <c r="A28" s="2">
        <v>1</v>
      </c>
      <c r="B28" s="2">
        <v>597</v>
      </c>
      <c r="C28" s="4">
        <v>39333</v>
      </c>
      <c r="D28" s="2" t="s">
        <v>417</v>
      </c>
      <c r="E28" s="2" t="s">
        <v>1650</v>
      </c>
      <c r="K28" s="2">
        <v>67</v>
      </c>
    </row>
    <row r="29" spans="1:13" x14ac:dyDescent="0.25">
      <c r="A29" s="2">
        <v>1</v>
      </c>
      <c r="B29" s="2">
        <v>598</v>
      </c>
      <c r="C29" s="4">
        <v>39333</v>
      </c>
      <c r="D29" s="2" t="s">
        <v>417</v>
      </c>
      <c r="E29" s="2" t="s">
        <v>1650</v>
      </c>
      <c r="K29" s="2">
        <v>10</v>
      </c>
    </row>
    <row r="30" spans="1:13" ht="20.399999999999999" x14ac:dyDescent="0.25">
      <c r="J30" s="2" t="s">
        <v>417</v>
      </c>
      <c r="K30" s="2">
        <f>SUBTOTAL(9,K2:K29)/60</f>
        <v>24.766666666666666</v>
      </c>
    </row>
    <row r="41" ht="36" customHeight="1" x14ac:dyDescent="0.25"/>
    <row r="42" ht="36" customHeight="1" x14ac:dyDescent="0.25"/>
  </sheetData>
  <autoFilter ref="A1:N29"/>
  <phoneticPr fontId="0" type="noConversion"/>
  <pageMargins left="0.78740157499999996" right="0.78740157499999996" top="0.984251969" bottom="0.984251969" header="0.4921259845" footer="0.4921259845"/>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6"/>
  <sheetViews>
    <sheetView workbookViewId="0">
      <pane ySplit="1" topLeftCell="A2" activePane="bottomLeft" state="frozenSplit"/>
      <selection activeCell="D17" sqref="D17"/>
      <selection pane="bottomLeft" activeCell="M6" sqref="M6"/>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85.5546875" style="2" customWidth="1"/>
    <col min="14" max="14" width="10.33203125" style="2" customWidth="1"/>
    <col min="15" max="16384" width="11.44140625" style="2"/>
  </cols>
  <sheetData>
    <row r="1" spans="1:14"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1162</v>
      </c>
      <c r="N1" s="1" t="s">
        <v>1163</v>
      </c>
    </row>
    <row r="2" spans="1:14" x14ac:dyDescent="0.25">
      <c r="A2" s="2">
        <v>1</v>
      </c>
      <c r="B2" s="2">
        <v>537</v>
      </c>
      <c r="C2" s="4">
        <v>38741</v>
      </c>
      <c r="D2" s="2" t="s">
        <v>571</v>
      </c>
      <c r="E2" s="2" t="s">
        <v>575</v>
      </c>
      <c r="F2" s="2" t="s">
        <v>661</v>
      </c>
      <c r="K2" s="2">
        <v>17</v>
      </c>
    </row>
    <row r="3" spans="1:14" x14ac:dyDescent="0.25">
      <c r="A3" s="2">
        <v>1</v>
      </c>
      <c r="B3" s="2">
        <v>538</v>
      </c>
      <c r="C3" s="4">
        <v>38741</v>
      </c>
      <c r="D3" s="2" t="s">
        <v>571</v>
      </c>
      <c r="E3" s="2" t="s">
        <v>575</v>
      </c>
      <c r="F3" s="2" t="s">
        <v>661</v>
      </c>
      <c r="K3" s="2">
        <v>20</v>
      </c>
    </row>
    <row r="4" spans="1:14" x14ac:dyDescent="0.25">
      <c r="A4" s="2">
        <v>1</v>
      </c>
      <c r="B4" s="2">
        <v>539</v>
      </c>
      <c r="C4" s="4">
        <v>38741</v>
      </c>
      <c r="D4" s="2" t="s">
        <v>571</v>
      </c>
      <c r="E4" s="2" t="s">
        <v>575</v>
      </c>
      <c r="F4" s="2" t="s">
        <v>661</v>
      </c>
      <c r="H4" s="2">
        <v>-4</v>
      </c>
      <c r="K4" s="2">
        <v>17</v>
      </c>
    </row>
    <row r="5" spans="1:14" x14ac:dyDescent="0.25">
      <c r="A5" s="2">
        <v>1</v>
      </c>
      <c r="B5" s="2">
        <v>540</v>
      </c>
      <c r="C5" s="4">
        <v>38741</v>
      </c>
      <c r="D5" s="2" t="s">
        <v>571</v>
      </c>
      <c r="E5" s="2" t="s">
        <v>575</v>
      </c>
      <c r="F5" s="2" t="s">
        <v>661</v>
      </c>
      <c r="K5" s="2">
        <v>20</v>
      </c>
    </row>
    <row r="6" spans="1:14" x14ac:dyDescent="0.25">
      <c r="A6" s="2">
        <v>1</v>
      </c>
      <c r="B6" s="2">
        <v>541</v>
      </c>
      <c r="C6" s="4">
        <v>38750</v>
      </c>
      <c r="D6" s="2" t="s">
        <v>544</v>
      </c>
      <c r="E6" s="2" t="s">
        <v>575</v>
      </c>
      <c r="F6" s="2" t="s">
        <v>661</v>
      </c>
      <c r="G6" s="2">
        <v>3</v>
      </c>
      <c r="H6" s="2">
        <v>-4</v>
      </c>
      <c r="I6" s="2">
        <v>2100</v>
      </c>
      <c r="K6" s="2">
        <v>80</v>
      </c>
      <c r="M6" s="46" t="s">
        <v>545</v>
      </c>
    </row>
    <row r="7" spans="1:14" x14ac:dyDescent="0.25">
      <c r="A7" s="2">
        <v>1</v>
      </c>
      <c r="B7" s="2">
        <v>542</v>
      </c>
      <c r="C7" s="4">
        <v>38750</v>
      </c>
      <c r="D7" s="2" t="s">
        <v>544</v>
      </c>
      <c r="E7" s="2" t="s">
        <v>575</v>
      </c>
      <c r="F7" s="2" t="s">
        <v>661</v>
      </c>
      <c r="K7" s="2">
        <v>19</v>
      </c>
    </row>
    <row r="8" spans="1:14" x14ac:dyDescent="0.25">
      <c r="A8" s="2">
        <v>1</v>
      </c>
      <c r="B8" s="2">
        <v>543</v>
      </c>
      <c r="C8" s="4">
        <v>38750</v>
      </c>
      <c r="D8" s="2" t="s">
        <v>544</v>
      </c>
      <c r="E8" s="2" t="s">
        <v>575</v>
      </c>
      <c r="F8" s="2" t="s">
        <v>661</v>
      </c>
      <c r="K8" s="2">
        <v>15</v>
      </c>
    </row>
    <row r="9" spans="1:14" x14ac:dyDescent="0.25">
      <c r="A9" s="2">
        <v>1</v>
      </c>
      <c r="B9" s="2">
        <v>544</v>
      </c>
      <c r="C9" s="4">
        <v>38765</v>
      </c>
      <c r="D9" s="2" t="s">
        <v>1756</v>
      </c>
      <c r="E9" s="2" t="s">
        <v>1757</v>
      </c>
      <c r="F9" s="2" t="s">
        <v>1758</v>
      </c>
      <c r="K9" s="2">
        <v>10</v>
      </c>
    </row>
    <row r="10" spans="1:14" x14ac:dyDescent="0.25">
      <c r="A10" s="2">
        <v>1</v>
      </c>
      <c r="B10" s="2">
        <v>545</v>
      </c>
      <c r="C10" s="4">
        <v>38766</v>
      </c>
      <c r="D10" s="2" t="s">
        <v>1756</v>
      </c>
      <c r="E10" s="2" t="s">
        <v>1757</v>
      </c>
      <c r="F10" s="2" t="s">
        <v>1758</v>
      </c>
      <c r="K10" s="2">
        <v>5</v>
      </c>
    </row>
    <row r="11" spans="1:14" x14ac:dyDescent="0.25">
      <c r="A11" s="2">
        <v>1</v>
      </c>
      <c r="B11" s="2">
        <v>546</v>
      </c>
      <c r="C11" s="4">
        <v>38766</v>
      </c>
      <c r="D11" s="2" t="s">
        <v>1756</v>
      </c>
      <c r="E11" s="2" t="s">
        <v>1757</v>
      </c>
      <c r="F11" s="2" t="s">
        <v>1758</v>
      </c>
      <c r="G11" s="2">
        <v>3.5</v>
      </c>
      <c r="H11" s="2">
        <v>-4</v>
      </c>
      <c r="I11" s="2">
        <v>1597</v>
      </c>
      <c r="J11" s="2">
        <v>1097</v>
      </c>
      <c r="K11" s="2">
        <v>44</v>
      </c>
    </row>
    <row r="12" spans="1:14" ht="20.399999999999999" x14ac:dyDescent="0.25">
      <c r="A12" s="2">
        <v>1</v>
      </c>
      <c r="B12" s="2">
        <v>547</v>
      </c>
      <c r="C12" s="4">
        <v>38771</v>
      </c>
      <c r="D12" s="2" t="s">
        <v>548</v>
      </c>
      <c r="E12" s="2" t="s">
        <v>612</v>
      </c>
      <c r="K12" s="2">
        <v>30</v>
      </c>
    </row>
    <row r="13" spans="1:14" x14ac:dyDescent="0.25">
      <c r="A13" s="2">
        <v>1</v>
      </c>
      <c r="B13" s="2">
        <v>548</v>
      </c>
      <c r="C13" s="4">
        <v>38799</v>
      </c>
      <c r="D13" s="2" t="s">
        <v>546</v>
      </c>
      <c r="E13" s="2" t="s">
        <v>1650</v>
      </c>
      <c r="K13" s="2">
        <v>150</v>
      </c>
    </row>
    <row r="14" spans="1:14" x14ac:dyDescent="0.25">
      <c r="A14" s="2">
        <v>1</v>
      </c>
      <c r="B14" s="2">
        <v>549</v>
      </c>
      <c r="C14" s="4">
        <v>38801</v>
      </c>
      <c r="D14" s="2" t="s">
        <v>546</v>
      </c>
      <c r="E14" s="2" t="s">
        <v>1650</v>
      </c>
      <c r="K14" s="2">
        <v>30</v>
      </c>
      <c r="M14" s="46" t="s">
        <v>387</v>
      </c>
    </row>
    <row r="15" spans="1:14" ht="30.6" x14ac:dyDescent="0.25">
      <c r="A15" s="2">
        <v>1</v>
      </c>
      <c r="B15" s="2">
        <v>550</v>
      </c>
      <c r="C15" s="4">
        <v>38801</v>
      </c>
      <c r="D15" s="2" t="s">
        <v>546</v>
      </c>
      <c r="E15" s="2" t="s">
        <v>1650</v>
      </c>
      <c r="G15" s="2">
        <v>5</v>
      </c>
      <c r="H15" s="2">
        <v>-7</v>
      </c>
      <c r="I15" s="2">
        <v>1800</v>
      </c>
      <c r="J15" s="2">
        <v>690</v>
      </c>
      <c r="K15" s="2">
        <v>130</v>
      </c>
      <c r="M15" s="2" t="s">
        <v>547</v>
      </c>
    </row>
    <row r="16" spans="1:14" ht="40.799999999999997" x14ac:dyDescent="0.25">
      <c r="A16" s="2">
        <v>1</v>
      </c>
      <c r="B16" s="2">
        <v>551</v>
      </c>
      <c r="C16" s="4">
        <v>38810</v>
      </c>
      <c r="D16" s="2" t="s">
        <v>546</v>
      </c>
      <c r="E16" s="2" t="s">
        <v>1550</v>
      </c>
      <c r="F16" s="2" t="s">
        <v>1759</v>
      </c>
      <c r="G16" s="2">
        <v>4</v>
      </c>
      <c r="I16" s="2">
        <v>2200</v>
      </c>
      <c r="J16" s="2">
        <v>400</v>
      </c>
      <c r="K16" s="2">
        <v>120</v>
      </c>
      <c r="M16" s="2" t="s">
        <v>1760</v>
      </c>
    </row>
    <row r="17" spans="1:13" x14ac:dyDescent="0.25">
      <c r="A17" s="2">
        <v>1</v>
      </c>
      <c r="B17" s="2">
        <v>552</v>
      </c>
      <c r="C17" s="4">
        <v>38813</v>
      </c>
      <c r="D17" s="2" t="s">
        <v>546</v>
      </c>
      <c r="E17" s="2" t="s">
        <v>612</v>
      </c>
      <c r="F17" s="2" t="s">
        <v>661</v>
      </c>
      <c r="K17" s="2">
        <v>1</v>
      </c>
      <c r="M17" s="2" t="s">
        <v>1761</v>
      </c>
    </row>
    <row r="18" spans="1:13" x14ac:dyDescent="0.25">
      <c r="A18" s="2">
        <v>1</v>
      </c>
      <c r="B18" s="2">
        <v>553</v>
      </c>
      <c r="C18" s="4">
        <v>38813</v>
      </c>
      <c r="D18" s="2" t="s">
        <v>546</v>
      </c>
      <c r="E18" s="2" t="s">
        <v>612</v>
      </c>
      <c r="F18" s="2" t="s">
        <v>661</v>
      </c>
      <c r="K18" s="2">
        <v>2</v>
      </c>
    </row>
    <row r="19" spans="1:13" x14ac:dyDescent="0.25">
      <c r="A19" s="2">
        <v>1</v>
      </c>
      <c r="B19" s="2">
        <v>554</v>
      </c>
      <c r="C19" s="4">
        <v>38819</v>
      </c>
      <c r="D19" s="2" t="s">
        <v>571</v>
      </c>
      <c r="E19" s="2" t="s">
        <v>612</v>
      </c>
      <c r="K19" s="2">
        <v>15</v>
      </c>
    </row>
    <row r="20" spans="1:13" x14ac:dyDescent="0.25">
      <c r="A20" s="2">
        <v>1</v>
      </c>
      <c r="B20" s="2">
        <v>555</v>
      </c>
      <c r="C20" s="4">
        <v>38820</v>
      </c>
      <c r="D20" s="2" t="s">
        <v>571</v>
      </c>
      <c r="E20" s="2" t="s">
        <v>1717</v>
      </c>
      <c r="K20" s="2">
        <v>15</v>
      </c>
    </row>
    <row r="21" spans="1:13" x14ac:dyDescent="0.25">
      <c r="A21" s="2">
        <v>1</v>
      </c>
      <c r="B21" s="2">
        <v>556</v>
      </c>
      <c r="C21" s="4">
        <v>38826</v>
      </c>
      <c r="D21" s="2" t="s">
        <v>571</v>
      </c>
      <c r="E21" s="2" t="s">
        <v>575</v>
      </c>
      <c r="G21" s="2">
        <v>1.5</v>
      </c>
      <c r="I21" s="2">
        <v>1789</v>
      </c>
      <c r="J21" s="2">
        <v>0</v>
      </c>
      <c r="K21" s="2">
        <v>20</v>
      </c>
    </row>
    <row r="22" spans="1:13" x14ac:dyDescent="0.25">
      <c r="A22" s="2">
        <v>1</v>
      </c>
      <c r="B22" s="2">
        <v>557</v>
      </c>
      <c r="C22" s="4">
        <v>38826</v>
      </c>
      <c r="D22" s="2" t="s">
        <v>571</v>
      </c>
      <c r="E22" s="2" t="s">
        <v>575</v>
      </c>
      <c r="G22" s="2">
        <v>4</v>
      </c>
      <c r="H22" s="2">
        <v>-4</v>
      </c>
      <c r="I22" s="2">
        <v>2440</v>
      </c>
      <c r="J22" s="2">
        <v>68</v>
      </c>
      <c r="K22" s="2">
        <v>103</v>
      </c>
    </row>
    <row r="23" spans="1:13" x14ac:dyDescent="0.25">
      <c r="A23" s="2">
        <v>1</v>
      </c>
      <c r="B23" s="2">
        <v>558</v>
      </c>
      <c r="C23" s="4">
        <v>38847</v>
      </c>
      <c r="D23" s="2" t="s">
        <v>571</v>
      </c>
      <c r="E23" s="2" t="s">
        <v>1650</v>
      </c>
      <c r="F23" s="2" t="s">
        <v>1762</v>
      </c>
      <c r="G23" s="2">
        <v>4</v>
      </c>
      <c r="H23" s="2">
        <v>-4</v>
      </c>
      <c r="I23" s="2">
        <v>1880</v>
      </c>
      <c r="J23" s="2">
        <v>760</v>
      </c>
      <c r="K23" s="2">
        <v>105</v>
      </c>
      <c r="L23" s="2">
        <v>20</v>
      </c>
      <c r="M23" s="2" t="s">
        <v>1764</v>
      </c>
    </row>
    <row r="24" spans="1:13" ht="255" x14ac:dyDescent="0.25">
      <c r="A24" s="2">
        <v>1</v>
      </c>
      <c r="B24" s="2">
        <v>559</v>
      </c>
      <c r="C24" s="4">
        <v>38848</v>
      </c>
      <c r="D24" s="2" t="s">
        <v>571</v>
      </c>
      <c r="E24" s="2" t="s">
        <v>575</v>
      </c>
      <c r="F24" s="2" t="s">
        <v>1763</v>
      </c>
      <c r="G24" s="2">
        <v>4.5</v>
      </c>
      <c r="H24" s="2">
        <v>-4.5</v>
      </c>
      <c r="I24" s="2">
        <v>3350</v>
      </c>
      <c r="J24" s="2">
        <v>1600</v>
      </c>
      <c r="K24" s="2">
        <v>188</v>
      </c>
      <c r="L24" s="2">
        <v>42</v>
      </c>
      <c r="M24" s="2" t="s">
        <v>1765</v>
      </c>
    </row>
    <row r="25" spans="1:13" x14ac:dyDescent="0.25">
      <c r="A25" s="2">
        <v>1</v>
      </c>
      <c r="B25" s="2">
        <v>560</v>
      </c>
      <c r="C25" s="4">
        <v>38877</v>
      </c>
      <c r="D25" s="2" t="s">
        <v>571</v>
      </c>
      <c r="K25" s="2">
        <v>21</v>
      </c>
    </row>
    <row r="26" spans="1:13" x14ac:dyDescent="0.25">
      <c r="A26" s="2">
        <v>1</v>
      </c>
      <c r="B26" s="2">
        <v>561</v>
      </c>
      <c r="C26" s="4">
        <v>38879</v>
      </c>
      <c r="D26" s="2" t="s">
        <v>571</v>
      </c>
      <c r="K26" s="2">
        <v>11</v>
      </c>
    </row>
    <row r="27" spans="1:13" x14ac:dyDescent="0.25">
      <c r="A27" s="2">
        <v>1</v>
      </c>
      <c r="B27" s="2">
        <v>562</v>
      </c>
      <c r="C27" s="4">
        <v>38879</v>
      </c>
      <c r="D27" s="2" t="s">
        <v>571</v>
      </c>
      <c r="K27" s="2">
        <v>10</v>
      </c>
    </row>
    <row r="28" spans="1:13" x14ac:dyDescent="0.25">
      <c r="A28" s="2">
        <v>1</v>
      </c>
      <c r="B28" s="2">
        <v>563</v>
      </c>
      <c r="C28" s="4">
        <v>38918</v>
      </c>
      <c r="D28" s="2" t="s">
        <v>571</v>
      </c>
      <c r="E28" s="2" t="s">
        <v>1311</v>
      </c>
      <c r="F28" s="2" t="s">
        <v>549</v>
      </c>
      <c r="G28" s="2">
        <v>2</v>
      </c>
      <c r="H28" s="2">
        <v>-4</v>
      </c>
      <c r="K28" s="2">
        <v>34</v>
      </c>
      <c r="M28" s="2" t="s">
        <v>550</v>
      </c>
    </row>
    <row r="29" spans="1:13" ht="261.75" customHeight="1" x14ac:dyDescent="0.25">
      <c r="A29" s="2">
        <v>1</v>
      </c>
      <c r="B29" s="2">
        <v>564</v>
      </c>
      <c r="C29" s="4">
        <v>38919</v>
      </c>
      <c r="D29" s="2" t="s">
        <v>571</v>
      </c>
      <c r="E29" s="2" t="s">
        <v>1550</v>
      </c>
      <c r="G29" s="2">
        <v>5</v>
      </c>
      <c r="H29" s="2">
        <v>-7</v>
      </c>
      <c r="I29" s="2">
        <v>3550</v>
      </c>
      <c r="J29" s="2">
        <v>1350</v>
      </c>
      <c r="K29" s="2">
        <v>195</v>
      </c>
      <c r="L29" s="2">
        <v>42</v>
      </c>
      <c r="M29" s="2" t="s">
        <v>536</v>
      </c>
    </row>
    <row r="30" spans="1:13" ht="20.399999999999999" x14ac:dyDescent="0.25">
      <c r="A30" s="2">
        <v>1</v>
      </c>
      <c r="B30" s="2">
        <v>565</v>
      </c>
      <c r="C30" s="4">
        <v>38921</v>
      </c>
      <c r="D30" s="2" t="s">
        <v>571</v>
      </c>
      <c r="E30" s="2" t="s">
        <v>1550</v>
      </c>
      <c r="G30" s="2">
        <v>4</v>
      </c>
      <c r="H30" s="2">
        <v>-4</v>
      </c>
      <c r="I30" s="2">
        <v>2275</v>
      </c>
      <c r="J30" s="2">
        <v>50</v>
      </c>
      <c r="K30" s="2">
        <v>91</v>
      </c>
      <c r="M30" s="2" t="s">
        <v>1766</v>
      </c>
    </row>
    <row r="31" spans="1:13" ht="20.399999999999999" x14ac:dyDescent="0.25">
      <c r="A31" s="2">
        <v>1</v>
      </c>
      <c r="B31" s="2">
        <v>566</v>
      </c>
      <c r="C31" s="4">
        <v>38923</v>
      </c>
      <c r="D31" s="2" t="s">
        <v>571</v>
      </c>
      <c r="E31" s="2" t="s">
        <v>1650</v>
      </c>
      <c r="G31" s="2">
        <v>4</v>
      </c>
      <c r="H31" s="2">
        <v>-5</v>
      </c>
      <c r="I31" s="2">
        <v>1415</v>
      </c>
      <c r="J31" s="2">
        <v>300</v>
      </c>
      <c r="K31" s="2">
        <v>65</v>
      </c>
      <c r="M31" s="2" t="s">
        <v>1767</v>
      </c>
    </row>
    <row r="32" spans="1:13" x14ac:dyDescent="0.25">
      <c r="A32" s="2">
        <v>1</v>
      </c>
      <c r="B32" s="2">
        <v>567</v>
      </c>
      <c r="C32" s="4">
        <v>38990</v>
      </c>
      <c r="D32" s="2" t="s">
        <v>417</v>
      </c>
      <c r="E32" s="2" t="s">
        <v>1650</v>
      </c>
      <c r="K32" s="2">
        <v>12</v>
      </c>
      <c r="M32" s="2" t="s">
        <v>422</v>
      </c>
    </row>
    <row r="33" spans="1:13" x14ac:dyDescent="0.25">
      <c r="A33" s="2">
        <v>1</v>
      </c>
      <c r="B33" s="2">
        <v>568</v>
      </c>
      <c r="C33" s="4">
        <v>39003</v>
      </c>
      <c r="D33" s="2" t="s">
        <v>417</v>
      </c>
      <c r="E33" s="2" t="s">
        <v>1650</v>
      </c>
      <c r="G33" s="2">
        <v>4</v>
      </c>
      <c r="H33" s="2">
        <v>-6.5</v>
      </c>
      <c r="I33" s="2">
        <v>1302</v>
      </c>
      <c r="J33" s="2">
        <v>200</v>
      </c>
      <c r="K33" s="2">
        <v>140</v>
      </c>
      <c r="M33" s="2" t="s">
        <v>419</v>
      </c>
    </row>
    <row r="34" spans="1:13" ht="30.6" x14ac:dyDescent="0.25">
      <c r="A34" s="2">
        <v>1</v>
      </c>
      <c r="B34" s="2">
        <v>569</v>
      </c>
      <c r="C34" s="4">
        <v>39004</v>
      </c>
      <c r="D34" s="2" t="s">
        <v>417</v>
      </c>
      <c r="E34" s="2" t="s">
        <v>1550</v>
      </c>
      <c r="G34" s="2">
        <v>4</v>
      </c>
      <c r="H34" s="2">
        <v>-5</v>
      </c>
      <c r="I34" s="2">
        <v>2225</v>
      </c>
      <c r="J34" s="2">
        <v>535</v>
      </c>
      <c r="K34" s="2">
        <v>100</v>
      </c>
      <c r="M34" s="2" t="s">
        <v>420</v>
      </c>
    </row>
    <row r="35" spans="1:13" ht="20.399999999999999" x14ac:dyDescent="0.25">
      <c r="A35" s="2">
        <v>1</v>
      </c>
      <c r="B35" s="2">
        <v>570</v>
      </c>
      <c r="C35" s="4">
        <v>39014</v>
      </c>
      <c r="D35" s="2" t="s">
        <v>418</v>
      </c>
      <c r="E35" s="2" t="s">
        <v>1650</v>
      </c>
      <c r="G35" s="2">
        <v>3.4</v>
      </c>
      <c r="H35" s="2">
        <v>-7.2</v>
      </c>
      <c r="I35" s="2">
        <v>1450</v>
      </c>
      <c r="J35" s="2">
        <v>330</v>
      </c>
      <c r="K35" s="2">
        <v>100</v>
      </c>
      <c r="M35" s="2" t="s">
        <v>421</v>
      </c>
    </row>
    <row r="38" spans="1:13" ht="20.399999999999999" x14ac:dyDescent="0.25">
      <c r="J38" s="2" t="s">
        <v>445</v>
      </c>
      <c r="K38" s="2">
        <f>SUM(K32:K34)/60</f>
        <v>4.2</v>
      </c>
    </row>
    <row r="75" ht="36" customHeight="1" x14ac:dyDescent="0.25"/>
    <row r="76" ht="36" customHeight="1" x14ac:dyDescent="0.25"/>
  </sheetData>
  <autoFilter ref="A1:N1"/>
  <phoneticPr fontId="0" type="noConversion"/>
  <pageMargins left="0.78740157499999996" right="0.78740157499999996" top="0.984251969" bottom="0.984251969" header="0.4921259845" footer="0.492125984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6"/>
  <sheetViews>
    <sheetView workbookViewId="0">
      <pane ySplit="1" topLeftCell="A23" activePane="bottomLeft" state="frozenSplit"/>
      <selection activeCell="D17" sqref="D17"/>
      <selection pane="bottomLeft" activeCell="K25" sqref="K25"/>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62.44140625" style="2" customWidth="1"/>
    <col min="14" max="14" width="10.33203125" style="2" customWidth="1"/>
    <col min="15" max="16384" width="11.44140625" style="2"/>
  </cols>
  <sheetData>
    <row r="1" spans="1:14"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1162</v>
      </c>
      <c r="N1" s="1" t="s">
        <v>1163</v>
      </c>
    </row>
    <row r="2" spans="1:14" x14ac:dyDescent="0.25">
      <c r="A2" s="2">
        <v>1</v>
      </c>
      <c r="B2" s="2">
        <v>492</v>
      </c>
      <c r="C2" s="4">
        <v>38357</v>
      </c>
      <c r="D2" s="2" t="s">
        <v>571</v>
      </c>
      <c r="E2" s="2" t="s">
        <v>1650</v>
      </c>
      <c r="F2" s="2" t="s">
        <v>1737</v>
      </c>
      <c r="K2" s="2">
        <v>15</v>
      </c>
    </row>
    <row r="3" spans="1:14" x14ac:dyDescent="0.25">
      <c r="A3" s="2">
        <v>1</v>
      </c>
      <c r="B3" s="2">
        <v>493</v>
      </c>
      <c r="C3" s="4">
        <v>38357</v>
      </c>
      <c r="D3" s="2" t="s">
        <v>571</v>
      </c>
      <c r="E3" s="2" t="s">
        <v>1650</v>
      </c>
      <c r="F3" s="2" t="s">
        <v>1737</v>
      </c>
      <c r="K3" s="2">
        <v>10</v>
      </c>
    </row>
    <row r="4" spans="1:14" x14ac:dyDescent="0.25">
      <c r="A4" s="2">
        <v>1</v>
      </c>
      <c r="B4" s="2">
        <v>494</v>
      </c>
      <c r="C4" s="4">
        <v>38357</v>
      </c>
      <c r="D4" s="2" t="s">
        <v>571</v>
      </c>
      <c r="E4" s="2" t="s">
        <v>1650</v>
      </c>
      <c r="F4" s="2" t="s">
        <v>1737</v>
      </c>
      <c r="K4" s="2">
        <v>20</v>
      </c>
    </row>
    <row r="5" spans="1:14" x14ac:dyDescent="0.25">
      <c r="A5" s="2">
        <v>1</v>
      </c>
      <c r="B5" s="2">
        <v>495</v>
      </c>
      <c r="C5" s="4">
        <v>38357</v>
      </c>
      <c r="D5" s="2" t="s">
        <v>571</v>
      </c>
      <c r="E5" s="2" t="s">
        <v>1650</v>
      </c>
      <c r="F5" s="2" t="s">
        <v>1737</v>
      </c>
      <c r="K5" s="2">
        <v>10</v>
      </c>
    </row>
    <row r="6" spans="1:14" ht="30.6" x14ac:dyDescent="0.25">
      <c r="A6" s="2">
        <v>1</v>
      </c>
      <c r="B6" s="2">
        <v>496</v>
      </c>
      <c r="C6" s="4">
        <v>38360</v>
      </c>
      <c r="D6" s="2" t="s">
        <v>571</v>
      </c>
      <c r="E6" s="2" t="s">
        <v>692</v>
      </c>
      <c r="F6" s="2" t="s">
        <v>1737</v>
      </c>
      <c r="J6" s="2">
        <v>400</v>
      </c>
      <c r="K6" s="2">
        <v>35</v>
      </c>
      <c r="M6" s="2" t="s">
        <v>578</v>
      </c>
    </row>
    <row r="7" spans="1:14" ht="20.399999999999999" x14ac:dyDescent="0.25">
      <c r="A7" s="2">
        <v>1</v>
      </c>
      <c r="B7" s="2">
        <v>497</v>
      </c>
      <c r="C7" s="4">
        <v>38361</v>
      </c>
      <c r="D7" s="2" t="s">
        <v>571</v>
      </c>
      <c r="E7" s="2" t="s">
        <v>575</v>
      </c>
      <c r="F7" s="2" t="s">
        <v>1737</v>
      </c>
      <c r="I7" s="2">
        <v>2000</v>
      </c>
      <c r="J7" s="2">
        <v>150</v>
      </c>
      <c r="K7" s="2">
        <v>50</v>
      </c>
      <c r="M7" s="2" t="s">
        <v>577</v>
      </c>
    </row>
    <row r="8" spans="1:14" x14ac:dyDescent="0.25">
      <c r="A8" s="2">
        <v>1</v>
      </c>
      <c r="B8" s="2">
        <v>498</v>
      </c>
      <c r="C8" s="4">
        <v>38361</v>
      </c>
      <c r="D8" s="2" t="s">
        <v>571</v>
      </c>
      <c r="E8" s="2" t="s">
        <v>575</v>
      </c>
      <c r="F8" s="2" t="s">
        <v>1737</v>
      </c>
      <c r="K8" s="2">
        <v>20</v>
      </c>
    </row>
    <row r="9" spans="1:14" x14ac:dyDescent="0.25">
      <c r="A9" s="2">
        <v>1</v>
      </c>
      <c r="B9" s="2">
        <v>499</v>
      </c>
      <c r="C9" s="4">
        <v>38361</v>
      </c>
      <c r="D9" s="2" t="s">
        <v>571</v>
      </c>
      <c r="E9" s="2" t="s">
        <v>575</v>
      </c>
      <c r="F9" s="2" t="s">
        <v>1737</v>
      </c>
      <c r="K9" s="2">
        <v>10</v>
      </c>
    </row>
    <row r="10" spans="1:14" x14ac:dyDescent="0.25">
      <c r="A10" s="2">
        <v>1</v>
      </c>
      <c r="B10" s="2">
        <v>500</v>
      </c>
      <c r="C10" s="4">
        <v>38365</v>
      </c>
      <c r="D10" s="2" t="s">
        <v>571</v>
      </c>
      <c r="E10" s="2" t="s">
        <v>575</v>
      </c>
      <c r="F10" s="2" t="s">
        <v>1737</v>
      </c>
      <c r="K10" s="2">
        <v>62</v>
      </c>
    </row>
    <row r="11" spans="1:14" x14ac:dyDescent="0.25">
      <c r="A11" s="2">
        <v>1</v>
      </c>
      <c r="B11" s="2">
        <v>501</v>
      </c>
      <c r="C11" s="4">
        <v>38365</v>
      </c>
      <c r="D11" s="2" t="s">
        <v>571</v>
      </c>
      <c r="E11" s="2" t="s">
        <v>575</v>
      </c>
      <c r="F11" s="2" t="s">
        <v>1737</v>
      </c>
      <c r="K11" s="2">
        <v>22</v>
      </c>
    </row>
    <row r="12" spans="1:14" x14ac:dyDescent="0.25">
      <c r="A12" s="2">
        <v>1</v>
      </c>
      <c r="B12" s="2">
        <v>502</v>
      </c>
      <c r="C12" s="4">
        <v>38365</v>
      </c>
      <c r="D12" s="2" t="s">
        <v>571</v>
      </c>
      <c r="E12" s="2" t="s">
        <v>575</v>
      </c>
      <c r="F12" s="2" t="s">
        <v>1737</v>
      </c>
      <c r="K12" s="2">
        <v>12</v>
      </c>
    </row>
    <row r="13" spans="1:14" x14ac:dyDescent="0.25">
      <c r="A13" s="2">
        <v>1</v>
      </c>
      <c r="B13" s="2">
        <v>503</v>
      </c>
      <c r="C13" s="4">
        <v>38393</v>
      </c>
      <c r="D13" s="2" t="s">
        <v>571</v>
      </c>
      <c r="E13" s="2" t="s">
        <v>575</v>
      </c>
      <c r="F13" s="2" t="s">
        <v>1737</v>
      </c>
      <c r="K13" s="2">
        <v>64</v>
      </c>
    </row>
    <row r="14" spans="1:14" x14ac:dyDescent="0.25">
      <c r="A14" s="2">
        <v>1</v>
      </c>
      <c r="B14" s="2">
        <v>504</v>
      </c>
      <c r="C14" s="4">
        <v>38393</v>
      </c>
      <c r="D14" s="2" t="s">
        <v>571</v>
      </c>
      <c r="E14" s="2" t="s">
        <v>575</v>
      </c>
      <c r="F14" s="2" t="s">
        <v>1737</v>
      </c>
      <c r="K14" s="2">
        <v>23</v>
      </c>
    </row>
    <row r="15" spans="1:14" x14ac:dyDescent="0.25">
      <c r="A15" s="2">
        <v>1</v>
      </c>
      <c r="B15" s="2">
        <v>505</v>
      </c>
      <c r="C15" s="4">
        <v>38413</v>
      </c>
      <c r="D15" s="2" t="s">
        <v>571</v>
      </c>
      <c r="E15" s="2" t="s">
        <v>1738</v>
      </c>
      <c r="F15" s="2" t="s">
        <v>1739</v>
      </c>
      <c r="K15" s="2">
        <v>47</v>
      </c>
      <c r="M15" s="26" t="s">
        <v>1743</v>
      </c>
    </row>
    <row r="16" spans="1:14" x14ac:dyDescent="0.25">
      <c r="A16" s="2">
        <v>1</v>
      </c>
      <c r="B16" s="2">
        <v>506</v>
      </c>
      <c r="C16" s="4">
        <v>38421</v>
      </c>
      <c r="D16" s="2" t="s">
        <v>571</v>
      </c>
      <c r="E16" s="2" t="s">
        <v>575</v>
      </c>
      <c r="F16" s="2" t="s">
        <v>1737</v>
      </c>
      <c r="K16" s="2">
        <v>12</v>
      </c>
    </row>
    <row r="17" spans="1:13" x14ac:dyDescent="0.25">
      <c r="A17" s="2">
        <v>1</v>
      </c>
      <c r="B17" s="2">
        <v>507</v>
      </c>
      <c r="C17" s="4">
        <v>38421</v>
      </c>
      <c r="D17" s="2" t="s">
        <v>571</v>
      </c>
      <c r="E17" s="2" t="s">
        <v>575</v>
      </c>
      <c r="F17" s="2" t="s">
        <v>1737</v>
      </c>
      <c r="K17" s="2">
        <v>22</v>
      </c>
    </row>
    <row r="18" spans="1:13" x14ac:dyDescent="0.25">
      <c r="A18" s="2">
        <v>1</v>
      </c>
      <c r="B18" s="2">
        <v>508</v>
      </c>
      <c r="C18" s="4">
        <v>38421</v>
      </c>
      <c r="D18" s="2" t="s">
        <v>571</v>
      </c>
      <c r="E18" s="2" t="s">
        <v>575</v>
      </c>
      <c r="F18" s="2" t="s">
        <v>1737</v>
      </c>
      <c r="K18" s="2">
        <v>42</v>
      </c>
    </row>
    <row r="19" spans="1:13" x14ac:dyDescent="0.25">
      <c r="A19" s="2">
        <v>1</v>
      </c>
      <c r="B19" s="2">
        <v>509</v>
      </c>
      <c r="C19" s="4">
        <v>38421</v>
      </c>
      <c r="D19" s="2" t="s">
        <v>571</v>
      </c>
      <c r="E19" s="2" t="s">
        <v>575</v>
      </c>
      <c r="F19" s="2" t="s">
        <v>1737</v>
      </c>
      <c r="K19" s="2">
        <v>91</v>
      </c>
    </row>
    <row r="20" spans="1:13" x14ac:dyDescent="0.25">
      <c r="A20" s="2">
        <v>1</v>
      </c>
      <c r="B20" s="2">
        <v>510</v>
      </c>
      <c r="C20" s="4">
        <v>38423</v>
      </c>
      <c r="D20" s="2" t="s">
        <v>571</v>
      </c>
      <c r="E20" s="2" t="s">
        <v>575</v>
      </c>
      <c r="F20" s="2" t="s">
        <v>1737</v>
      </c>
      <c r="K20" s="2">
        <v>26</v>
      </c>
      <c r="M20" s="2" t="s">
        <v>1740</v>
      </c>
    </row>
    <row r="21" spans="1:13" x14ac:dyDescent="0.25">
      <c r="A21" s="2">
        <v>1</v>
      </c>
      <c r="B21" s="2">
        <v>511</v>
      </c>
      <c r="C21" s="4">
        <v>38423</v>
      </c>
      <c r="D21" s="2" t="s">
        <v>571</v>
      </c>
      <c r="E21" s="2" t="s">
        <v>575</v>
      </c>
      <c r="F21" s="2" t="s">
        <v>1737</v>
      </c>
      <c r="K21" s="2">
        <v>37</v>
      </c>
      <c r="M21" s="2" t="s">
        <v>1741</v>
      </c>
    </row>
    <row r="22" spans="1:13" x14ac:dyDescent="0.25">
      <c r="A22" s="2">
        <v>1</v>
      </c>
      <c r="B22" s="2">
        <v>512</v>
      </c>
      <c r="C22" s="4">
        <v>38423</v>
      </c>
      <c r="D22" s="2" t="s">
        <v>571</v>
      </c>
      <c r="E22" s="2" t="s">
        <v>575</v>
      </c>
      <c r="F22" s="2" t="s">
        <v>1737</v>
      </c>
      <c r="K22" s="2">
        <v>33</v>
      </c>
      <c r="M22" s="2" t="s">
        <v>1742</v>
      </c>
    </row>
    <row r="23" spans="1:13" ht="295.8" x14ac:dyDescent="0.25">
      <c r="A23" s="2">
        <v>1</v>
      </c>
      <c r="B23" s="2">
        <v>513</v>
      </c>
      <c r="C23" s="4">
        <v>38427</v>
      </c>
      <c r="D23" s="17" t="s">
        <v>571</v>
      </c>
      <c r="E23" s="2" t="s">
        <v>575</v>
      </c>
      <c r="F23" s="2" t="s">
        <v>579</v>
      </c>
      <c r="G23" s="2">
        <v>6</v>
      </c>
      <c r="H23" s="2">
        <v>-8</v>
      </c>
      <c r="I23" s="2">
        <v>3550</v>
      </c>
      <c r="J23" s="2">
        <v>1800</v>
      </c>
      <c r="K23" s="2">
        <v>180</v>
      </c>
      <c r="L23" s="2">
        <v>56</v>
      </c>
      <c r="M23" s="2" t="s">
        <v>551</v>
      </c>
    </row>
    <row r="24" spans="1:13" ht="20.399999999999999" x14ac:dyDescent="0.25">
      <c r="A24" s="2">
        <v>1</v>
      </c>
      <c r="B24" s="2">
        <v>514</v>
      </c>
      <c r="C24" s="4">
        <v>38438</v>
      </c>
      <c r="D24" s="17" t="s">
        <v>571</v>
      </c>
      <c r="E24" s="2" t="s">
        <v>1650</v>
      </c>
      <c r="F24" s="2" t="s">
        <v>1744</v>
      </c>
      <c r="K24" s="2">
        <v>15</v>
      </c>
      <c r="M24" s="2" t="s">
        <v>1745</v>
      </c>
    </row>
    <row r="25" spans="1:13" ht="214.2" x14ac:dyDescent="0.25">
      <c r="A25" s="2">
        <v>1</v>
      </c>
      <c r="B25" s="2">
        <v>515</v>
      </c>
      <c r="C25" s="4">
        <v>38438</v>
      </c>
      <c r="D25" s="2" t="s">
        <v>571</v>
      </c>
      <c r="E25" s="2" t="s">
        <v>1650</v>
      </c>
      <c r="F25" s="2" t="s">
        <v>1744</v>
      </c>
      <c r="G25" s="2">
        <v>4</v>
      </c>
      <c r="H25" s="2">
        <v>-4</v>
      </c>
      <c r="I25" s="2">
        <v>2080</v>
      </c>
      <c r="J25" s="2">
        <v>900</v>
      </c>
      <c r="K25" s="2">
        <v>100</v>
      </c>
      <c r="L25" s="2">
        <v>26</v>
      </c>
      <c r="M25" s="2" t="s">
        <v>1746</v>
      </c>
    </row>
    <row r="26" spans="1:13" x14ac:dyDescent="0.25">
      <c r="A26" s="2">
        <v>1</v>
      </c>
      <c r="B26" s="2">
        <v>516</v>
      </c>
      <c r="C26" s="4">
        <v>38455</v>
      </c>
      <c r="D26" s="2" t="s">
        <v>571</v>
      </c>
      <c r="E26" s="2" t="s">
        <v>575</v>
      </c>
      <c r="K26" s="2">
        <v>15</v>
      </c>
      <c r="M26" s="2" t="s">
        <v>553</v>
      </c>
    </row>
    <row r="27" spans="1:13" ht="285.60000000000002" x14ac:dyDescent="0.25">
      <c r="A27" s="2">
        <v>1</v>
      </c>
      <c r="B27" s="2">
        <v>517</v>
      </c>
      <c r="C27" s="4">
        <v>38455</v>
      </c>
      <c r="D27" s="2" t="s">
        <v>571</v>
      </c>
      <c r="E27" s="2" t="s">
        <v>575</v>
      </c>
      <c r="F27" s="2" t="s">
        <v>552</v>
      </c>
      <c r="G27" s="2">
        <v>4</v>
      </c>
      <c r="H27" s="2">
        <v>-6</v>
      </c>
      <c r="I27" s="2">
        <v>2050</v>
      </c>
      <c r="J27" s="2">
        <v>300</v>
      </c>
      <c r="K27" s="2">
        <v>120</v>
      </c>
      <c r="M27" s="2" t="s">
        <v>554</v>
      </c>
    </row>
    <row r="28" spans="1:13" x14ac:dyDescent="0.25">
      <c r="A28" s="2">
        <v>1</v>
      </c>
      <c r="B28" s="2">
        <v>518</v>
      </c>
      <c r="C28" s="4">
        <v>38463</v>
      </c>
      <c r="D28" s="2" t="s">
        <v>571</v>
      </c>
      <c r="E28" s="2" t="s">
        <v>1717</v>
      </c>
      <c r="F28" s="2" t="s">
        <v>1749</v>
      </c>
      <c r="K28" s="2">
        <v>1</v>
      </c>
    </row>
    <row r="29" spans="1:13" x14ac:dyDescent="0.25">
      <c r="A29" s="2">
        <v>1</v>
      </c>
      <c r="B29" s="2">
        <v>519</v>
      </c>
      <c r="C29" s="4">
        <v>38463</v>
      </c>
      <c r="D29" s="2" t="s">
        <v>571</v>
      </c>
      <c r="E29" s="2" t="s">
        <v>1717</v>
      </c>
      <c r="F29" s="2" t="s">
        <v>1749</v>
      </c>
      <c r="K29" s="2">
        <v>10</v>
      </c>
    </row>
    <row r="30" spans="1:13" ht="40.799999999999997" x14ac:dyDescent="0.25">
      <c r="A30" s="2">
        <v>1</v>
      </c>
      <c r="B30" s="2">
        <v>520</v>
      </c>
      <c r="C30" s="4">
        <v>38468</v>
      </c>
      <c r="D30" s="2" t="s">
        <v>571</v>
      </c>
      <c r="E30" s="2" t="s">
        <v>575</v>
      </c>
      <c r="F30" s="2" t="s">
        <v>1747</v>
      </c>
      <c r="G30" s="2">
        <v>5</v>
      </c>
      <c r="H30" s="2">
        <v>-5</v>
      </c>
      <c r="I30" s="2">
        <v>3090</v>
      </c>
      <c r="J30" s="2">
        <v>1500</v>
      </c>
      <c r="K30" s="2">
        <v>240</v>
      </c>
      <c r="L30" s="2">
        <v>56</v>
      </c>
      <c r="M30" s="2" t="s">
        <v>1748</v>
      </c>
    </row>
    <row r="31" spans="1:13" x14ac:dyDescent="0.25">
      <c r="A31" s="2">
        <v>1</v>
      </c>
      <c r="B31" s="2">
        <v>521</v>
      </c>
      <c r="C31" s="4">
        <v>38499</v>
      </c>
      <c r="D31" s="2" t="s">
        <v>571</v>
      </c>
      <c r="E31" s="2" t="s">
        <v>1550</v>
      </c>
      <c r="F31" s="2" t="s">
        <v>661</v>
      </c>
      <c r="G31" s="2">
        <v>6</v>
      </c>
      <c r="H31" s="2">
        <v>-6</v>
      </c>
      <c r="I31" s="2">
        <v>3880</v>
      </c>
      <c r="J31" s="2">
        <v>2080</v>
      </c>
      <c r="K31" s="2">
        <v>194</v>
      </c>
      <c r="L31" s="2">
        <v>43</v>
      </c>
      <c r="M31" s="2" t="s">
        <v>1750</v>
      </c>
    </row>
    <row r="32" spans="1:13" x14ac:dyDescent="0.25">
      <c r="A32" s="2">
        <v>1</v>
      </c>
      <c r="B32" s="2">
        <v>522</v>
      </c>
      <c r="C32" s="4">
        <v>38504</v>
      </c>
      <c r="D32" s="2" t="s">
        <v>571</v>
      </c>
      <c r="E32" s="2" t="s">
        <v>1650</v>
      </c>
      <c r="G32" s="2">
        <v>2</v>
      </c>
      <c r="H32" s="2">
        <v>-4</v>
      </c>
      <c r="I32" s="2">
        <v>1134</v>
      </c>
      <c r="J32" s="2">
        <v>3</v>
      </c>
      <c r="K32" s="2">
        <v>20</v>
      </c>
    </row>
    <row r="33" spans="1:13" x14ac:dyDescent="0.25">
      <c r="A33" s="2">
        <v>1</v>
      </c>
      <c r="B33" s="2">
        <v>523</v>
      </c>
      <c r="C33" s="4">
        <v>38504</v>
      </c>
      <c r="D33" s="2" t="s">
        <v>571</v>
      </c>
      <c r="E33" s="2" t="s">
        <v>1650</v>
      </c>
      <c r="G33" s="2">
        <v>3</v>
      </c>
      <c r="H33" s="2">
        <v>-3</v>
      </c>
      <c r="I33" s="2">
        <v>1312</v>
      </c>
      <c r="J33" s="2">
        <v>180</v>
      </c>
      <c r="K33" s="2">
        <v>25</v>
      </c>
    </row>
    <row r="34" spans="1:13" x14ac:dyDescent="0.25">
      <c r="A34" s="2">
        <v>1</v>
      </c>
      <c r="B34" s="2">
        <v>524</v>
      </c>
      <c r="C34" s="4">
        <v>38509</v>
      </c>
      <c r="D34" s="2" t="s">
        <v>571</v>
      </c>
      <c r="G34" s="2">
        <v>4</v>
      </c>
      <c r="H34" s="2">
        <v>-4</v>
      </c>
      <c r="I34" s="2">
        <v>2342</v>
      </c>
      <c r="J34" s="2">
        <v>630</v>
      </c>
      <c r="K34" s="2">
        <v>72</v>
      </c>
    </row>
    <row r="35" spans="1:13" ht="30.6" x14ac:dyDescent="0.25">
      <c r="A35" s="2">
        <v>1</v>
      </c>
      <c r="B35" s="2">
        <v>525</v>
      </c>
      <c r="C35" s="4">
        <v>38567</v>
      </c>
      <c r="D35" s="2" t="s">
        <v>571</v>
      </c>
      <c r="E35" s="2" t="s">
        <v>1650</v>
      </c>
      <c r="F35" s="2" t="s">
        <v>538</v>
      </c>
      <c r="G35" s="2">
        <v>5</v>
      </c>
      <c r="H35" s="2">
        <v>-4</v>
      </c>
      <c r="I35" s="2">
        <v>2090</v>
      </c>
      <c r="J35" s="2">
        <v>965</v>
      </c>
      <c r="K35" s="2">
        <v>119</v>
      </c>
      <c r="L35" s="2">
        <v>28</v>
      </c>
      <c r="M35" s="2" t="s">
        <v>539</v>
      </c>
    </row>
    <row r="36" spans="1:13" ht="30.6" x14ac:dyDescent="0.25">
      <c r="A36" s="2">
        <v>1</v>
      </c>
      <c r="B36" s="2">
        <v>526</v>
      </c>
      <c r="C36" s="4">
        <v>38572</v>
      </c>
      <c r="D36" s="2" t="s">
        <v>571</v>
      </c>
      <c r="E36" s="2" t="s">
        <v>1620</v>
      </c>
      <c r="F36" s="2" t="s">
        <v>1751</v>
      </c>
      <c r="G36" s="2">
        <v>0</v>
      </c>
      <c r="H36" s="2">
        <v>-7</v>
      </c>
      <c r="I36" s="2">
        <v>1800</v>
      </c>
      <c r="K36" s="2">
        <v>16</v>
      </c>
      <c r="M36" s="2" t="s">
        <v>1470</v>
      </c>
    </row>
    <row r="37" spans="1:13" ht="30.6" x14ac:dyDescent="0.25">
      <c r="A37" s="2">
        <v>1</v>
      </c>
      <c r="B37" s="2">
        <v>527</v>
      </c>
      <c r="C37" s="4">
        <v>38572</v>
      </c>
      <c r="D37" s="2" t="s">
        <v>571</v>
      </c>
      <c r="E37" s="2" t="s">
        <v>1620</v>
      </c>
      <c r="F37" s="2" t="s">
        <v>1751</v>
      </c>
      <c r="G37" s="2">
        <v>1</v>
      </c>
      <c r="H37" s="2">
        <v>-6</v>
      </c>
      <c r="I37" s="2">
        <v>1800</v>
      </c>
      <c r="K37" s="2">
        <v>16</v>
      </c>
      <c r="M37" s="2" t="s">
        <v>1470</v>
      </c>
    </row>
    <row r="38" spans="1:13" ht="30.6" x14ac:dyDescent="0.25">
      <c r="A38" s="2">
        <v>1</v>
      </c>
      <c r="B38" s="2">
        <v>528</v>
      </c>
      <c r="C38" s="4">
        <v>38572</v>
      </c>
      <c r="D38" s="2" t="s">
        <v>571</v>
      </c>
      <c r="E38" s="2" t="s">
        <v>1620</v>
      </c>
      <c r="F38" s="2" t="s">
        <v>1751</v>
      </c>
      <c r="G38" s="2">
        <v>2.5</v>
      </c>
      <c r="H38" s="2">
        <v>-4</v>
      </c>
      <c r="I38" s="2">
        <v>1800</v>
      </c>
      <c r="K38" s="2">
        <v>25</v>
      </c>
    </row>
    <row r="39" spans="1:13" ht="30.6" x14ac:dyDescent="0.25">
      <c r="A39" s="2">
        <v>1</v>
      </c>
      <c r="B39" s="2">
        <v>529</v>
      </c>
      <c r="C39" s="4">
        <v>38573</v>
      </c>
      <c r="D39" s="2" t="s">
        <v>571</v>
      </c>
      <c r="E39" s="2" t="s">
        <v>1620</v>
      </c>
      <c r="F39" s="2" t="s">
        <v>1751</v>
      </c>
      <c r="G39" s="2">
        <v>2</v>
      </c>
      <c r="H39" s="2">
        <v>-3</v>
      </c>
      <c r="I39" s="2">
        <v>2350</v>
      </c>
      <c r="K39" s="2">
        <v>27</v>
      </c>
      <c r="M39" s="2" t="s">
        <v>1752</v>
      </c>
    </row>
    <row r="40" spans="1:13" ht="30.6" x14ac:dyDescent="0.25">
      <c r="A40" s="2">
        <v>1</v>
      </c>
      <c r="B40" s="2">
        <v>530</v>
      </c>
      <c r="C40" s="4">
        <v>38573</v>
      </c>
      <c r="D40" s="2" t="s">
        <v>571</v>
      </c>
      <c r="E40" s="2" t="s">
        <v>1620</v>
      </c>
      <c r="F40" s="2" t="s">
        <v>1751</v>
      </c>
      <c r="G40" s="2">
        <v>2</v>
      </c>
      <c r="H40" s="2">
        <v>-7</v>
      </c>
      <c r="I40" s="2">
        <v>1800</v>
      </c>
      <c r="K40" s="2">
        <v>15</v>
      </c>
      <c r="M40" s="2" t="s">
        <v>1753</v>
      </c>
    </row>
    <row r="41" spans="1:13" x14ac:dyDescent="0.25">
      <c r="A41" s="2">
        <v>1</v>
      </c>
      <c r="B41" s="2">
        <v>531</v>
      </c>
      <c r="C41" s="4">
        <v>38603</v>
      </c>
      <c r="D41" s="2" t="s">
        <v>571</v>
      </c>
      <c r="E41" s="2" t="s">
        <v>1650</v>
      </c>
      <c r="F41" s="2" t="s">
        <v>661</v>
      </c>
      <c r="K41" s="2">
        <v>25</v>
      </c>
      <c r="M41" s="2" t="s">
        <v>540</v>
      </c>
    </row>
    <row r="42" spans="1:13" x14ac:dyDescent="0.25">
      <c r="A42" s="2">
        <v>1</v>
      </c>
      <c r="B42" s="2">
        <v>532</v>
      </c>
      <c r="C42" s="4">
        <v>38603</v>
      </c>
      <c r="D42" s="2" t="s">
        <v>571</v>
      </c>
      <c r="E42" s="2" t="s">
        <v>1650</v>
      </c>
      <c r="F42" s="2" t="s">
        <v>661</v>
      </c>
      <c r="K42" s="2">
        <v>25</v>
      </c>
      <c r="M42" s="46" t="s">
        <v>197</v>
      </c>
    </row>
    <row r="43" spans="1:13" x14ac:dyDescent="0.25">
      <c r="A43" s="2">
        <v>1</v>
      </c>
      <c r="B43" s="2">
        <v>533</v>
      </c>
      <c r="C43" s="4">
        <v>38604</v>
      </c>
      <c r="D43" s="2" t="s">
        <v>659</v>
      </c>
      <c r="E43" s="2" t="s">
        <v>1550</v>
      </c>
      <c r="F43" s="2" t="s">
        <v>661</v>
      </c>
      <c r="K43" s="2">
        <v>12</v>
      </c>
      <c r="M43" s="2" t="s">
        <v>541</v>
      </c>
    </row>
    <row r="44" spans="1:13" x14ac:dyDescent="0.25">
      <c r="A44" s="2">
        <v>1</v>
      </c>
      <c r="B44" s="2">
        <v>534</v>
      </c>
      <c r="C44" s="4">
        <v>38604</v>
      </c>
      <c r="D44" s="2" t="s">
        <v>659</v>
      </c>
      <c r="E44" s="2" t="s">
        <v>1550</v>
      </c>
      <c r="F44" s="2" t="s">
        <v>661</v>
      </c>
      <c r="K44" s="2">
        <v>12</v>
      </c>
      <c r="M44" s="2" t="s">
        <v>542</v>
      </c>
    </row>
    <row r="45" spans="1:13" x14ac:dyDescent="0.25">
      <c r="A45" s="2">
        <v>1</v>
      </c>
      <c r="B45" s="2">
        <v>535</v>
      </c>
      <c r="C45" s="4">
        <v>38604</v>
      </c>
      <c r="D45" s="2" t="s">
        <v>659</v>
      </c>
      <c r="E45" s="2" t="s">
        <v>1550</v>
      </c>
      <c r="F45" s="2" t="s">
        <v>661</v>
      </c>
      <c r="K45" s="2">
        <v>12</v>
      </c>
      <c r="M45" s="2" t="s">
        <v>543</v>
      </c>
    </row>
    <row r="46" spans="1:13" ht="20.399999999999999" x14ac:dyDescent="0.25">
      <c r="A46" s="2">
        <v>1</v>
      </c>
      <c r="B46" s="2">
        <v>536</v>
      </c>
      <c r="C46" s="4">
        <v>38667</v>
      </c>
      <c r="D46" s="2" t="s">
        <v>1754</v>
      </c>
      <c r="E46" s="2" t="s">
        <v>1550</v>
      </c>
      <c r="F46" s="2" t="s">
        <v>661</v>
      </c>
      <c r="K46" s="2">
        <v>10</v>
      </c>
      <c r="M46" s="2" t="s">
        <v>1755</v>
      </c>
    </row>
    <row r="125" ht="36" customHeight="1" x14ac:dyDescent="0.25"/>
    <row r="126" ht="36" customHeight="1" x14ac:dyDescent="0.25"/>
  </sheetData>
  <autoFilter ref="A1:N46"/>
  <phoneticPr fontId="0" type="noConversion"/>
  <pageMargins left="0.78740157499999996" right="0.78740157499999996" top="0.984251969" bottom="0.984251969" header="0.4921259845" footer="0.492125984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5"/>
  <sheetViews>
    <sheetView workbookViewId="0">
      <pane ySplit="1" topLeftCell="A2" activePane="bottomLeft" state="frozenSplit"/>
      <selection activeCell="D17" sqref="D17"/>
      <selection pane="bottomLeft" activeCell="D17" sqref="D17"/>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9" style="2" bestFit="1" customWidth="1"/>
    <col min="5" max="5" width="11.44140625" style="2" customWidth="1"/>
    <col min="6" max="6" width="11.5546875" style="2"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13.109375" style="2" customWidth="1"/>
    <col min="14" max="14" width="88.44140625" style="2" customWidth="1"/>
    <col min="15" max="15" width="10.33203125" style="2" customWidth="1"/>
    <col min="16" max="16384" width="11.44140625" style="2"/>
  </cols>
  <sheetData>
    <row r="1" spans="1:15"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1168</v>
      </c>
      <c r="N1" s="1" t="s">
        <v>1162</v>
      </c>
      <c r="O1" s="1" t="s">
        <v>1163</v>
      </c>
    </row>
    <row r="2" spans="1:15" x14ac:dyDescent="0.25">
      <c r="A2" s="2">
        <v>1</v>
      </c>
      <c r="B2" s="2">
        <v>454</v>
      </c>
      <c r="C2" s="4">
        <v>38028</v>
      </c>
      <c r="D2" s="2" t="s">
        <v>1661</v>
      </c>
      <c r="E2" s="2" t="s">
        <v>613</v>
      </c>
      <c r="K2" s="2">
        <v>5</v>
      </c>
    </row>
    <row r="3" spans="1:15" x14ac:dyDescent="0.25">
      <c r="A3" s="2">
        <v>1</v>
      </c>
      <c r="B3" s="2">
        <v>455</v>
      </c>
      <c r="C3" s="4">
        <v>38031</v>
      </c>
      <c r="D3" s="2" t="s">
        <v>1661</v>
      </c>
      <c r="E3" s="2" t="s">
        <v>1718</v>
      </c>
      <c r="K3" s="2">
        <v>5</v>
      </c>
      <c r="N3" s="2" t="s">
        <v>1319</v>
      </c>
    </row>
    <row r="4" spans="1:15" ht="20.399999999999999" x14ac:dyDescent="0.25">
      <c r="A4" s="2">
        <v>1</v>
      </c>
      <c r="B4" s="2">
        <v>456</v>
      </c>
      <c r="C4" s="4">
        <v>38042</v>
      </c>
      <c r="D4" s="2" t="s">
        <v>1661</v>
      </c>
      <c r="E4" s="2" t="s">
        <v>1620</v>
      </c>
      <c r="F4" s="2" t="s">
        <v>1728</v>
      </c>
      <c r="K4" s="2">
        <v>12</v>
      </c>
      <c r="N4" s="2" t="s">
        <v>1176</v>
      </c>
    </row>
    <row r="5" spans="1:15" ht="20.399999999999999" x14ac:dyDescent="0.25">
      <c r="A5" s="2">
        <v>1</v>
      </c>
      <c r="B5" s="2">
        <v>457</v>
      </c>
      <c r="C5" s="4">
        <v>38042</v>
      </c>
      <c r="D5" s="2" t="s">
        <v>1661</v>
      </c>
      <c r="E5" s="2" t="s">
        <v>1620</v>
      </c>
      <c r="F5" s="2" t="s">
        <v>1728</v>
      </c>
      <c r="K5" s="2">
        <v>12</v>
      </c>
      <c r="N5" s="2" t="s">
        <v>1729</v>
      </c>
    </row>
    <row r="6" spans="1:15" ht="20.399999999999999" x14ac:dyDescent="0.25">
      <c r="A6" s="2">
        <v>1</v>
      </c>
      <c r="B6" s="2">
        <v>458</v>
      </c>
      <c r="C6" s="4">
        <v>38042</v>
      </c>
      <c r="D6" s="2" t="s">
        <v>1661</v>
      </c>
      <c r="E6" s="2" t="s">
        <v>1620</v>
      </c>
      <c r="F6" s="2" t="s">
        <v>1728</v>
      </c>
      <c r="K6" s="2">
        <v>15</v>
      </c>
      <c r="N6" s="2" t="s">
        <v>1176</v>
      </c>
    </row>
    <row r="7" spans="1:15" ht="20.399999999999999" x14ac:dyDescent="0.25">
      <c r="A7" s="2">
        <v>1</v>
      </c>
      <c r="B7" s="2">
        <v>459</v>
      </c>
      <c r="C7" s="4">
        <v>38042</v>
      </c>
      <c r="D7" s="2" t="s">
        <v>1661</v>
      </c>
      <c r="E7" s="2" t="s">
        <v>1620</v>
      </c>
      <c r="F7" s="2" t="s">
        <v>1728</v>
      </c>
      <c r="K7" s="2">
        <v>19</v>
      </c>
      <c r="N7" s="2" t="s">
        <v>1730</v>
      </c>
    </row>
    <row r="8" spans="1:15" ht="20.399999999999999" x14ac:dyDescent="0.25">
      <c r="A8" s="2">
        <v>1</v>
      </c>
      <c r="B8" s="2">
        <v>460</v>
      </c>
      <c r="C8" s="4">
        <v>38055</v>
      </c>
      <c r="D8" s="2" t="s">
        <v>1661</v>
      </c>
      <c r="E8" s="2" t="s">
        <v>1650</v>
      </c>
      <c r="F8" s="2" t="s">
        <v>661</v>
      </c>
      <c r="G8" s="2">
        <v>5</v>
      </c>
      <c r="H8" s="2">
        <v>-4</v>
      </c>
      <c r="I8" s="2">
        <v>1426</v>
      </c>
      <c r="J8" s="2">
        <v>300</v>
      </c>
      <c r="K8" s="2">
        <v>85</v>
      </c>
      <c r="L8" s="2">
        <v>12</v>
      </c>
      <c r="N8" s="2" t="s">
        <v>1487</v>
      </c>
    </row>
    <row r="9" spans="1:15" ht="20.399999999999999" x14ac:dyDescent="0.25">
      <c r="A9" s="2">
        <v>1</v>
      </c>
      <c r="B9" s="2">
        <v>461</v>
      </c>
      <c r="C9" s="4">
        <v>38056</v>
      </c>
      <c r="D9" s="2" t="s">
        <v>1661</v>
      </c>
      <c r="E9" s="2" t="s">
        <v>1620</v>
      </c>
      <c r="F9" s="2" t="s">
        <v>1488</v>
      </c>
      <c r="H9" s="2">
        <v>-8.5</v>
      </c>
      <c r="K9" s="2">
        <v>11</v>
      </c>
      <c r="N9" s="2" t="s">
        <v>1489</v>
      </c>
    </row>
    <row r="10" spans="1:15" x14ac:dyDescent="0.25">
      <c r="A10" s="2">
        <v>1</v>
      </c>
      <c r="B10" s="2">
        <v>462</v>
      </c>
      <c r="C10" s="4">
        <v>38056</v>
      </c>
      <c r="D10" s="2" t="s">
        <v>1661</v>
      </c>
      <c r="E10" s="2" t="s">
        <v>1490</v>
      </c>
      <c r="F10" s="2" t="s">
        <v>1491</v>
      </c>
      <c r="G10" s="2">
        <v>3</v>
      </c>
      <c r="H10" s="2">
        <v>-3</v>
      </c>
      <c r="I10" s="2">
        <v>644</v>
      </c>
      <c r="J10" s="2">
        <v>38</v>
      </c>
      <c r="K10" s="2">
        <v>10</v>
      </c>
      <c r="N10" s="2" t="s">
        <v>1494</v>
      </c>
    </row>
    <row r="11" spans="1:15" x14ac:dyDescent="0.25">
      <c r="A11" s="2">
        <v>1</v>
      </c>
      <c r="B11" s="2">
        <v>463</v>
      </c>
      <c r="C11" s="4">
        <v>38056</v>
      </c>
      <c r="D11" s="2" t="s">
        <v>1661</v>
      </c>
      <c r="E11" s="2" t="s">
        <v>1490</v>
      </c>
      <c r="F11" s="2" t="s">
        <v>1491</v>
      </c>
      <c r="G11" s="2">
        <v>3</v>
      </c>
      <c r="H11" s="2">
        <v>-3</v>
      </c>
      <c r="I11" s="2">
        <v>732</v>
      </c>
      <c r="J11" s="2">
        <v>126</v>
      </c>
      <c r="K11" s="2">
        <v>44</v>
      </c>
    </row>
    <row r="12" spans="1:15" x14ac:dyDescent="0.25">
      <c r="A12" s="2">
        <v>1</v>
      </c>
      <c r="B12" s="2">
        <v>464</v>
      </c>
      <c r="C12" s="4">
        <v>38056</v>
      </c>
      <c r="D12" s="2" t="s">
        <v>1661</v>
      </c>
      <c r="E12" s="2" t="s">
        <v>1650</v>
      </c>
      <c r="F12" s="2" t="s">
        <v>1492</v>
      </c>
      <c r="G12" s="2">
        <v>3</v>
      </c>
      <c r="H12" s="2">
        <v>-4</v>
      </c>
      <c r="K12" s="2">
        <v>10</v>
      </c>
      <c r="N12" s="2" t="s">
        <v>537</v>
      </c>
    </row>
    <row r="13" spans="1:15" ht="30.6" x14ac:dyDescent="0.25">
      <c r="A13" s="2">
        <v>1</v>
      </c>
      <c r="B13" s="2">
        <v>465</v>
      </c>
      <c r="C13" s="4">
        <v>38057</v>
      </c>
      <c r="D13" s="2" t="s">
        <v>1661</v>
      </c>
      <c r="E13" s="2" t="s">
        <v>1650</v>
      </c>
      <c r="F13" s="2" t="s">
        <v>661</v>
      </c>
      <c r="G13" s="2">
        <v>3.5</v>
      </c>
      <c r="H13" s="2">
        <v>-4</v>
      </c>
      <c r="I13" s="2">
        <v>1286</v>
      </c>
      <c r="J13" s="2">
        <v>135</v>
      </c>
      <c r="K13" s="2">
        <v>170</v>
      </c>
      <c r="N13" s="2" t="s">
        <v>1493</v>
      </c>
    </row>
    <row r="14" spans="1:15" ht="51" x14ac:dyDescent="0.25">
      <c r="A14" s="2">
        <v>1</v>
      </c>
      <c r="B14" s="2">
        <v>466</v>
      </c>
      <c r="C14" s="4">
        <v>38060</v>
      </c>
      <c r="D14" s="2" t="s">
        <v>1661</v>
      </c>
      <c r="E14" s="2" t="s">
        <v>1650</v>
      </c>
      <c r="F14" s="2" t="s">
        <v>661</v>
      </c>
      <c r="K14" s="2">
        <v>15</v>
      </c>
      <c r="M14" s="2" t="s">
        <v>1731</v>
      </c>
      <c r="N14" s="2" t="s">
        <v>1732</v>
      </c>
    </row>
    <row r="15" spans="1:15" ht="91.8" x14ac:dyDescent="0.25">
      <c r="A15" s="2">
        <v>1</v>
      </c>
      <c r="B15" s="2">
        <v>467</v>
      </c>
      <c r="C15" s="4">
        <v>38060</v>
      </c>
      <c r="D15" s="2" t="s">
        <v>1661</v>
      </c>
      <c r="E15" s="2" t="s">
        <v>1650</v>
      </c>
      <c r="F15" s="2" t="s">
        <v>661</v>
      </c>
      <c r="G15" s="2">
        <v>4</v>
      </c>
      <c r="H15" s="2">
        <v>-4</v>
      </c>
      <c r="I15" s="2">
        <v>1390</v>
      </c>
      <c r="J15" s="2">
        <v>340</v>
      </c>
      <c r="K15" s="2">
        <v>183</v>
      </c>
      <c r="L15" s="2">
        <v>20</v>
      </c>
      <c r="M15" s="2" t="s">
        <v>1733</v>
      </c>
      <c r="N15" s="2" t="s">
        <v>1734</v>
      </c>
    </row>
    <row r="16" spans="1:15" ht="30.6" x14ac:dyDescent="0.25">
      <c r="A16" s="2">
        <v>1</v>
      </c>
      <c r="B16" s="2">
        <v>468</v>
      </c>
      <c r="C16" s="4">
        <v>38091</v>
      </c>
      <c r="D16" s="2" t="s">
        <v>570</v>
      </c>
      <c r="E16" s="2" t="s">
        <v>1697</v>
      </c>
      <c r="F16" s="2" t="s">
        <v>1699</v>
      </c>
      <c r="K16" s="2">
        <v>3</v>
      </c>
      <c r="M16" s="2" t="s">
        <v>1017</v>
      </c>
      <c r="N16" s="2" t="s">
        <v>1700</v>
      </c>
    </row>
    <row r="17" spans="1:14" ht="30.6" x14ac:dyDescent="0.25">
      <c r="A17" s="2">
        <v>1</v>
      </c>
      <c r="B17" s="2">
        <v>469</v>
      </c>
      <c r="C17" s="4">
        <v>38091</v>
      </c>
      <c r="D17" s="2" t="s">
        <v>570</v>
      </c>
      <c r="E17" s="2" t="s">
        <v>1696</v>
      </c>
      <c r="F17" s="2" t="s">
        <v>1699</v>
      </c>
      <c r="G17" s="2">
        <v>4</v>
      </c>
      <c r="H17" s="2">
        <v>-4</v>
      </c>
      <c r="I17" s="2">
        <v>1500</v>
      </c>
      <c r="J17" s="2">
        <v>700</v>
      </c>
      <c r="K17" s="2">
        <v>45</v>
      </c>
      <c r="M17" s="2" t="s">
        <v>1698</v>
      </c>
      <c r="N17" s="2" t="s">
        <v>1701</v>
      </c>
    </row>
    <row r="18" spans="1:14" ht="30.6" x14ac:dyDescent="0.25">
      <c r="A18" s="2">
        <v>1</v>
      </c>
      <c r="B18" s="2">
        <v>470</v>
      </c>
      <c r="C18" s="4">
        <v>38101</v>
      </c>
      <c r="D18" s="2" t="s">
        <v>570</v>
      </c>
      <c r="E18" s="2" t="s">
        <v>1620</v>
      </c>
      <c r="F18" s="2" t="s">
        <v>661</v>
      </c>
      <c r="G18" s="2">
        <v>6</v>
      </c>
      <c r="H18" s="2">
        <v>-6</v>
      </c>
      <c r="I18" s="2">
        <v>2800</v>
      </c>
      <c r="J18" s="2">
        <v>1000</v>
      </c>
      <c r="K18" s="2">
        <v>235</v>
      </c>
      <c r="L18" s="2">
        <v>38</v>
      </c>
      <c r="M18" s="2" t="s">
        <v>1296</v>
      </c>
      <c r="N18" s="2" t="s">
        <v>556</v>
      </c>
    </row>
    <row r="19" spans="1:14" ht="255" customHeight="1" x14ac:dyDescent="0.25">
      <c r="A19" s="2">
        <v>1</v>
      </c>
      <c r="B19" s="2">
        <v>471</v>
      </c>
      <c r="C19" s="4">
        <v>38103</v>
      </c>
      <c r="D19" s="2" t="s">
        <v>570</v>
      </c>
      <c r="E19" s="2" t="s">
        <v>1620</v>
      </c>
      <c r="F19" s="2" t="s">
        <v>661</v>
      </c>
      <c r="G19" s="2">
        <v>5</v>
      </c>
      <c r="H19" s="2">
        <v>-5</v>
      </c>
      <c r="I19" s="2">
        <v>3200</v>
      </c>
      <c r="J19" s="2">
        <v>1400</v>
      </c>
      <c r="K19" s="2">
        <v>125</v>
      </c>
      <c r="L19" s="2">
        <v>35</v>
      </c>
      <c r="M19" s="2" t="s">
        <v>1296</v>
      </c>
      <c r="N19" s="46" t="s">
        <v>580</v>
      </c>
    </row>
    <row r="20" spans="1:14" ht="20.399999999999999" x14ac:dyDescent="0.25">
      <c r="A20" s="2">
        <v>1</v>
      </c>
      <c r="B20" s="2">
        <v>472</v>
      </c>
      <c r="C20" s="4">
        <v>38116</v>
      </c>
      <c r="D20" s="2" t="s">
        <v>1486</v>
      </c>
      <c r="E20" s="2" t="s">
        <v>1620</v>
      </c>
      <c r="F20" s="2" t="s">
        <v>557</v>
      </c>
      <c r="G20" s="2">
        <v>3</v>
      </c>
      <c r="H20" s="2">
        <v>-4</v>
      </c>
      <c r="I20" s="2">
        <v>2350</v>
      </c>
      <c r="J20" s="2">
        <v>540</v>
      </c>
      <c r="K20" s="2">
        <v>55</v>
      </c>
      <c r="M20" s="2" t="s">
        <v>1296</v>
      </c>
      <c r="N20" s="46" t="s">
        <v>555</v>
      </c>
    </row>
    <row r="21" spans="1:14" ht="20.399999999999999" x14ac:dyDescent="0.25">
      <c r="A21" s="2">
        <v>1</v>
      </c>
      <c r="B21" s="2">
        <v>473</v>
      </c>
      <c r="C21" s="4">
        <v>38124</v>
      </c>
      <c r="D21" s="2" t="s">
        <v>571</v>
      </c>
      <c r="E21" s="2" t="s">
        <v>1650</v>
      </c>
      <c r="F21" s="2" t="s">
        <v>573</v>
      </c>
      <c r="G21" s="2">
        <v>5</v>
      </c>
      <c r="H21" s="2">
        <v>-11.54</v>
      </c>
      <c r="I21" s="2">
        <v>2120</v>
      </c>
      <c r="J21" s="2">
        <v>1015</v>
      </c>
      <c r="K21" s="2">
        <v>217</v>
      </c>
      <c r="L21" s="2">
        <v>42</v>
      </c>
    </row>
    <row r="22" spans="1:14" ht="20.399999999999999" x14ac:dyDescent="0.25">
      <c r="A22" s="2">
        <v>1</v>
      </c>
      <c r="B22" s="2">
        <v>474</v>
      </c>
      <c r="C22" s="4">
        <v>38125</v>
      </c>
      <c r="D22" s="2" t="s">
        <v>571</v>
      </c>
      <c r="E22" s="2" t="s">
        <v>1620</v>
      </c>
      <c r="F22" s="2" t="s">
        <v>573</v>
      </c>
      <c r="G22" s="2">
        <v>4</v>
      </c>
      <c r="H22" s="2">
        <v>-8</v>
      </c>
      <c r="I22" s="2">
        <v>2800</v>
      </c>
      <c r="J22" s="2">
        <v>1100</v>
      </c>
      <c r="K22" s="2">
        <v>82</v>
      </c>
      <c r="L22" s="2">
        <v>20</v>
      </c>
    </row>
    <row r="23" spans="1:14" ht="20.399999999999999" x14ac:dyDescent="0.25">
      <c r="A23" s="2">
        <v>1</v>
      </c>
      <c r="B23" s="2">
        <v>475</v>
      </c>
      <c r="C23" s="4">
        <v>38126</v>
      </c>
      <c r="D23" s="2" t="s">
        <v>571</v>
      </c>
      <c r="E23" s="2" t="s">
        <v>572</v>
      </c>
      <c r="F23" s="2" t="s">
        <v>573</v>
      </c>
      <c r="G23" s="2">
        <v>7</v>
      </c>
      <c r="H23" s="2">
        <v>-5</v>
      </c>
      <c r="I23" s="2">
        <v>3120</v>
      </c>
      <c r="J23" s="2">
        <v>1404</v>
      </c>
      <c r="K23" s="2">
        <v>215</v>
      </c>
      <c r="L23" s="2">
        <v>50</v>
      </c>
    </row>
    <row r="24" spans="1:14" x14ac:dyDescent="0.25">
      <c r="A24" s="2">
        <v>1</v>
      </c>
      <c r="B24" s="2">
        <v>476</v>
      </c>
      <c r="C24" s="4">
        <v>38153</v>
      </c>
      <c r="D24" s="2" t="s">
        <v>571</v>
      </c>
      <c r="E24" s="2" t="s">
        <v>612</v>
      </c>
      <c r="K24" s="2">
        <v>29</v>
      </c>
    </row>
    <row r="25" spans="1:14" x14ac:dyDescent="0.25">
      <c r="A25" s="2">
        <v>1</v>
      </c>
      <c r="B25" s="2">
        <v>477</v>
      </c>
      <c r="C25" s="4">
        <v>38153</v>
      </c>
      <c r="D25" s="2" t="s">
        <v>571</v>
      </c>
      <c r="E25" s="2" t="s">
        <v>612</v>
      </c>
      <c r="K25" s="2">
        <v>23</v>
      </c>
    </row>
    <row r="26" spans="1:14" x14ac:dyDescent="0.25">
      <c r="A26" s="2">
        <v>1</v>
      </c>
      <c r="B26" s="2">
        <v>478</v>
      </c>
      <c r="C26" s="4">
        <v>38156</v>
      </c>
      <c r="D26" s="2" t="s">
        <v>571</v>
      </c>
      <c r="E26" s="2" t="s">
        <v>1650</v>
      </c>
      <c r="K26" s="2">
        <v>70</v>
      </c>
    </row>
    <row r="27" spans="1:14" x14ac:dyDescent="0.25">
      <c r="A27" s="2">
        <v>1</v>
      </c>
      <c r="B27" s="2">
        <v>479</v>
      </c>
      <c r="C27" s="4">
        <v>38171</v>
      </c>
      <c r="D27" s="2" t="s">
        <v>571</v>
      </c>
      <c r="E27" s="2" t="s">
        <v>1650</v>
      </c>
      <c r="K27" s="2">
        <v>29</v>
      </c>
    </row>
    <row r="28" spans="1:14" x14ac:dyDescent="0.25">
      <c r="A28" s="2">
        <v>1</v>
      </c>
      <c r="B28" s="2">
        <v>480</v>
      </c>
      <c r="C28" s="4">
        <v>38171</v>
      </c>
      <c r="D28" s="2" t="s">
        <v>571</v>
      </c>
      <c r="E28" s="2" t="s">
        <v>1650</v>
      </c>
      <c r="K28" s="2">
        <v>20</v>
      </c>
    </row>
    <row r="29" spans="1:14" x14ac:dyDescent="0.25">
      <c r="A29" s="2">
        <v>1</v>
      </c>
      <c r="B29" s="2">
        <v>481</v>
      </c>
      <c r="C29" s="4">
        <v>38171</v>
      </c>
      <c r="D29" s="2" t="s">
        <v>571</v>
      </c>
      <c r="E29" s="2" t="s">
        <v>1650</v>
      </c>
      <c r="K29" s="2">
        <v>17</v>
      </c>
    </row>
    <row r="30" spans="1:14" x14ac:dyDescent="0.25">
      <c r="A30" s="2">
        <v>1</v>
      </c>
      <c r="B30" s="2">
        <v>482</v>
      </c>
      <c r="C30" s="4">
        <v>38171</v>
      </c>
      <c r="D30" s="2" t="s">
        <v>571</v>
      </c>
      <c r="E30" s="2" t="s">
        <v>1650</v>
      </c>
      <c r="K30" s="2">
        <v>32</v>
      </c>
    </row>
    <row r="31" spans="1:14" x14ac:dyDescent="0.25">
      <c r="A31" s="2">
        <v>1</v>
      </c>
      <c r="B31" s="2">
        <v>483</v>
      </c>
      <c r="C31" s="4">
        <v>38185</v>
      </c>
      <c r="D31" s="2" t="s">
        <v>659</v>
      </c>
      <c r="E31" s="2" t="s">
        <v>1650</v>
      </c>
      <c r="K31" s="2">
        <v>25</v>
      </c>
    </row>
    <row r="32" spans="1:14" x14ac:dyDescent="0.25">
      <c r="A32" s="2">
        <v>1</v>
      </c>
      <c r="B32" s="2">
        <v>484</v>
      </c>
      <c r="C32" s="4">
        <v>38252</v>
      </c>
      <c r="D32" s="2" t="s">
        <v>571</v>
      </c>
      <c r="E32" s="2" t="s">
        <v>574</v>
      </c>
      <c r="G32" s="2">
        <v>3</v>
      </c>
      <c r="H32" s="2">
        <v>-4</v>
      </c>
      <c r="I32" s="2">
        <v>1800</v>
      </c>
      <c r="J32" s="2">
        <v>500</v>
      </c>
      <c r="K32" s="2">
        <v>81</v>
      </c>
    </row>
    <row r="33" spans="1:11" x14ac:dyDescent="0.25">
      <c r="A33" s="2">
        <v>1</v>
      </c>
      <c r="B33" s="2">
        <v>485</v>
      </c>
      <c r="C33" s="4">
        <v>38252</v>
      </c>
      <c r="D33" s="2" t="s">
        <v>571</v>
      </c>
      <c r="E33" s="2" t="s">
        <v>574</v>
      </c>
      <c r="G33" s="2">
        <v>2</v>
      </c>
      <c r="H33" s="2">
        <v>-4</v>
      </c>
      <c r="K33" s="2">
        <v>20</v>
      </c>
    </row>
    <row r="34" spans="1:11" x14ac:dyDescent="0.25">
      <c r="A34" s="2">
        <v>1</v>
      </c>
      <c r="B34" s="2">
        <v>486</v>
      </c>
      <c r="C34" s="4">
        <v>38256</v>
      </c>
      <c r="D34" s="2" t="s">
        <v>571</v>
      </c>
      <c r="E34" s="2" t="s">
        <v>1650</v>
      </c>
      <c r="G34" s="2">
        <v>2</v>
      </c>
      <c r="H34" s="2">
        <v>-5</v>
      </c>
      <c r="K34" s="2">
        <v>32</v>
      </c>
    </row>
    <row r="35" spans="1:11" x14ac:dyDescent="0.25">
      <c r="A35" s="2">
        <v>1</v>
      </c>
      <c r="B35" s="2">
        <v>487</v>
      </c>
      <c r="C35" s="4">
        <v>38268</v>
      </c>
      <c r="D35" s="2" t="s">
        <v>571</v>
      </c>
      <c r="K35" s="2">
        <v>9</v>
      </c>
    </row>
    <row r="36" spans="1:11" x14ac:dyDescent="0.25">
      <c r="A36" s="2">
        <v>1</v>
      </c>
      <c r="B36" s="2">
        <v>488</v>
      </c>
      <c r="C36" s="4">
        <v>38270</v>
      </c>
      <c r="D36" s="2" t="s">
        <v>571</v>
      </c>
      <c r="G36" s="2">
        <v>3</v>
      </c>
      <c r="H36" s="2">
        <v>-4</v>
      </c>
      <c r="K36" s="2">
        <v>60</v>
      </c>
    </row>
    <row r="37" spans="1:11" x14ac:dyDescent="0.25">
      <c r="A37" s="2">
        <v>1</v>
      </c>
      <c r="B37" s="2">
        <v>489</v>
      </c>
      <c r="C37" s="4">
        <v>38283</v>
      </c>
      <c r="D37" s="2" t="s">
        <v>571</v>
      </c>
      <c r="E37" s="2" t="s">
        <v>1650</v>
      </c>
      <c r="K37" s="2">
        <v>20</v>
      </c>
    </row>
    <row r="38" spans="1:11" x14ac:dyDescent="0.25">
      <c r="A38" s="2">
        <v>1</v>
      </c>
      <c r="B38" s="2">
        <v>490</v>
      </c>
      <c r="C38" s="4">
        <v>38283</v>
      </c>
      <c r="D38" s="2" t="s">
        <v>571</v>
      </c>
      <c r="E38" s="2" t="s">
        <v>1650</v>
      </c>
      <c r="K38" s="2">
        <v>21</v>
      </c>
    </row>
    <row r="39" spans="1:11" ht="20.399999999999999" x14ac:dyDescent="0.25">
      <c r="A39" s="2">
        <v>1</v>
      </c>
      <c r="B39" s="2">
        <v>491</v>
      </c>
      <c r="C39" s="4">
        <v>38333</v>
      </c>
      <c r="D39" s="2" t="s">
        <v>571</v>
      </c>
      <c r="E39" s="2" t="s">
        <v>575</v>
      </c>
      <c r="F39" s="2" t="s">
        <v>576</v>
      </c>
      <c r="G39" s="2">
        <v>2</v>
      </c>
      <c r="H39" s="2">
        <v>-3</v>
      </c>
      <c r="I39" s="2">
        <v>1750</v>
      </c>
      <c r="K39" s="2">
        <v>20</v>
      </c>
    </row>
    <row r="40" spans="1:11" x14ac:dyDescent="0.25">
      <c r="D40" s="17"/>
    </row>
    <row r="41" spans="1:11" x14ac:dyDescent="0.25">
      <c r="D41" s="17"/>
    </row>
    <row r="42" spans="1:11" x14ac:dyDescent="0.25">
      <c r="D42" s="17"/>
    </row>
    <row r="43" spans="1:11" x14ac:dyDescent="0.25">
      <c r="D43" s="17"/>
    </row>
    <row r="45" spans="1:11" x14ac:dyDescent="0.25">
      <c r="D45" s="17"/>
    </row>
    <row r="46" spans="1:11" x14ac:dyDescent="0.25">
      <c r="D46" s="17"/>
    </row>
    <row r="47" spans="1:11" x14ac:dyDescent="0.25">
      <c r="D47" s="17"/>
    </row>
    <row r="48" spans="1:11" x14ac:dyDescent="0.25">
      <c r="D48" s="17"/>
    </row>
    <row r="49" spans="4:4" x14ac:dyDescent="0.25">
      <c r="D49" s="17"/>
    </row>
    <row r="50" spans="4:4" x14ac:dyDescent="0.25">
      <c r="D50" s="17"/>
    </row>
    <row r="51" spans="4:4" x14ac:dyDescent="0.25">
      <c r="D51" s="17"/>
    </row>
    <row r="52" spans="4:4" x14ac:dyDescent="0.25">
      <c r="D52" s="17"/>
    </row>
    <row r="53" spans="4:4" x14ac:dyDescent="0.25">
      <c r="D53" s="17"/>
    </row>
    <row r="154" ht="36" customHeight="1" x14ac:dyDescent="0.25"/>
    <row r="155" ht="36" customHeight="1" x14ac:dyDescent="0.25"/>
  </sheetData>
  <autoFilter ref="A1:O40"/>
  <phoneticPr fontId="0" type="noConversion"/>
  <pageMargins left="0.78740157499999996" right="0.78740157499999996" top="0.984251969" bottom="0.984251969" header="0.4921259845" footer="0.492125984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4"/>
  <sheetViews>
    <sheetView workbookViewId="0">
      <selection activeCell="D17" sqref="D17"/>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7.109375" style="2" customWidth="1"/>
    <col min="5" max="5" width="11.44140625" style="2" customWidth="1"/>
    <col min="6" max="6" width="10.5546875" style="2" bestFit="1"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13.109375" style="2" customWidth="1"/>
    <col min="14" max="14" width="62.44140625" style="2" customWidth="1"/>
    <col min="15" max="15" width="10.33203125" style="2" customWidth="1"/>
    <col min="16" max="16384" width="11.44140625" style="2"/>
  </cols>
  <sheetData>
    <row r="1" spans="1:15"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1168</v>
      </c>
      <c r="N1" s="1" t="s">
        <v>1162</v>
      </c>
      <c r="O1" s="1" t="s">
        <v>1163</v>
      </c>
    </row>
    <row r="2" spans="1:15" ht="183.6" x14ac:dyDescent="0.25">
      <c r="A2" s="2">
        <v>1</v>
      </c>
      <c r="B2" s="2">
        <v>406</v>
      </c>
      <c r="C2" s="4">
        <v>37645</v>
      </c>
      <c r="D2" s="2" t="s">
        <v>1661</v>
      </c>
      <c r="E2" s="2" t="s">
        <v>612</v>
      </c>
      <c r="F2" s="2" t="s">
        <v>1318</v>
      </c>
      <c r="J2" s="2">
        <v>800</v>
      </c>
      <c r="K2" s="2">
        <v>60</v>
      </c>
      <c r="L2" s="2">
        <v>11</v>
      </c>
      <c r="M2" s="2" t="s">
        <v>582</v>
      </c>
      <c r="N2" s="2" t="s">
        <v>581</v>
      </c>
    </row>
    <row r="3" spans="1:15" ht="40.799999999999997" x14ac:dyDescent="0.25">
      <c r="A3" s="2">
        <v>1</v>
      </c>
      <c r="B3" s="2">
        <v>407</v>
      </c>
      <c r="C3" s="4">
        <v>37645</v>
      </c>
      <c r="D3" s="2" t="s">
        <v>1661</v>
      </c>
      <c r="E3" s="2" t="s">
        <v>612</v>
      </c>
      <c r="F3" s="2" t="s">
        <v>1723</v>
      </c>
      <c r="J3" s="2">
        <v>0</v>
      </c>
      <c r="K3" s="2">
        <v>15</v>
      </c>
      <c r="N3" s="2" t="s">
        <v>1018</v>
      </c>
    </row>
    <row r="4" spans="1:15" x14ac:dyDescent="0.25">
      <c r="A4" s="2">
        <v>1</v>
      </c>
      <c r="B4" s="2">
        <v>408</v>
      </c>
      <c r="C4" s="4">
        <v>37698</v>
      </c>
      <c r="D4" s="2" t="s">
        <v>1661</v>
      </c>
      <c r="E4" s="2" t="s">
        <v>1620</v>
      </c>
      <c r="I4" s="2">
        <v>3500</v>
      </c>
      <c r="K4" s="2">
        <v>120</v>
      </c>
      <c r="L4" s="2">
        <v>32</v>
      </c>
      <c r="N4" s="2" t="s">
        <v>819</v>
      </c>
    </row>
    <row r="5" spans="1:15" x14ac:dyDescent="0.25">
      <c r="A5" s="2">
        <v>1</v>
      </c>
      <c r="B5" s="2">
        <v>409</v>
      </c>
      <c r="C5" s="4">
        <v>37699</v>
      </c>
      <c r="D5" s="2" t="s">
        <v>1661</v>
      </c>
      <c r="E5" s="2" t="s">
        <v>1620</v>
      </c>
      <c r="I5" s="2">
        <v>3350</v>
      </c>
      <c r="K5" s="2">
        <v>190</v>
      </c>
      <c r="L5" s="2">
        <v>58</v>
      </c>
      <c r="N5" s="2" t="s">
        <v>820</v>
      </c>
    </row>
    <row r="6" spans="1:15" x14ac:dyDescent="0.25">
      <c r="A6" s="2">
        <v>1</v>
      </c>
      <c r="B6" s="2">
        <v>410</v>
      </c>
      <c r="C6" s="4">
        <v>37701</v>
      </c>
      <c r="D6" s="2" t="s">
        <v>1661</v>
      </c>
      <c r="E6" s="2" t="s">
        <v>1620</v>
      </c>
      <c r="I6" s="2">
        <v>2700</v>
      </c>
      <c r="K6" s="2">
        <v>120</v>
      </c>
      <c r="L6" s="2">
        <v>26.5</v>
      </c>
      <c r="N6" s="2" t="s">
        <v>821</v>
      </c>
    </row>
    <row r="7" spans="1:15" x14ac:dyDescent="0.25">
      <c r="A7" s="2">
        <v>1</v>
      </c>
      <c r="B7" s="2">
        <v>411</v>
      </c>
      <c r="C7" s="4">
        <v>37749</v>
      </c>
      <c r="D7" s="2" t="s">
        <v>1661</v>
      </c>
      <c r="E7" s="2" t="s">
        <v>629</v>
      </c>
      <c r="K7" s="2">
        <v>10</v>
      </c>
      <c r="N7" s="2" t="s">
        <v>827</v>
      </c>
    </row>
    <row r="8" spans="1:15" x14ac:dyDescent="0.25">
      <c r="A8" s="2">
        <v>1</v>
      </c>
      <c r="B8" s="2">
        <v>412</v>
      </c>
      <c r="C8" s="4">
        <v>37749</v>
      </c>
      <c r="D8" s="2" t="s">
        <v>1661</v>
      </c>
      <c r="E8" s="2" t="s">
        <v>629</v>
      </c>
      <c r="K8" s="2">
        <v>10</v>
      </c>
      <c r="N8" s="2" t="s">
        <v>827</v>
      </c>
    </row>
    <row r="9" spans="1:15" x14ac:dyDescent="0.25">
      <c r="A9" s="2">
        <v>1</v>
      </c>
      <c r="B9" s="2">
        <v>413</v>
      </c>
      <c r="C9" s="4">
        <v>37749</v>
      </c>
      <c r="D9" s="2" t="s">
        <v>1661</v>
      </c>
      <c r="E9" s="2" t="s">
        <v>629</v>
      </c>
      <c r="K9" s="2">
        <v>10</v>
      </c>
      <c r="N9" s="2" t="s">
        <v>827</v>
      </c>
    </row>
    <row r="10" spans="1:15" x14ac:dyDescent="0.25">
      <c r="A10" s="2">
        <v>1</v>
      </c>
      <c r="B10" s="2">
        <v>414</v>
      </c>
      <c r="C10" s="4">
        <v>37749</v>
      </c>
      <c r="D10" s="2" t="s">
        <v>1661</v>
      </c>
      <c r="E10" s="2" t="s">
        <v>629</v>
      </c>
      <c r="K10" s="2">
        <v>10</v>
      </c>
      <c r="N10" s="2" t="s">
        <v>827</v>
      </c>
    </row>
    <row r="11" spans="1:15" x14ac:dyDescent="0.25">
      <c r="A11" s="2">
        <v>1</v>
      </c>
      <c r="B11" s="2">
        <v>415</v>
      </c>
      <c r="C11" s="4">
        <v>37749</v>
      </c>
      <c r="D11" s="2" t="s">
        <v>1661</v>
      </c>
      <c r="E11" s="2" t="s">
        <v>629</v>
      </c>
      <c r="K11" s="2">
        <v>10</v>
      </c>
      <c r="N11" s="2" t="s">
        <v>827</v>
      </c>
    </row>
    <row r="12" spans="1:15" x14ac:dyDescent="0.25">
      <c r="A12" s="2">
        <v>1</v>
      </c>
      <c r="B12" s="2">
        <v>416</v>
      </c>
      <c r="C12" s="4">
        <v>37749</v>
      </c>
      <c r="D12" s="2" t="s">
        <v>1661</v>
      </c>
      <c r="E12" s="2" t="s">
        <v>629</v>
      </c>
      <c r="K12" s="2">
        <v>10</v>
      </c>
      <c r="N12" s="2" t="s">
        <v>827</v>
      </c>
    </row>
    <row r="13" spans="1:15" x14ac:dyDescent="0.25">
      <c r="A13" s="2">
        <v>1</v>
      </c>
      <c r="B13" s="2">
        <v>417</v>
      </c>
      <c r="C13" s="4">
        <v>37750</v>
      </c>
      <c r="D13" s="2" t="s">
        <v>1661</v>
      </c>
      <c r="E13" s="2" t="s">
        <v>828</v>
      </c>
      <c r="K13" s="2">
        <v>60</v>
      </c>
      <c r="N13" s="2" t="s">
        <v>829</v>
      </c>
    </row>
    <row r="14" spans="1:15" x14ac:dyDescent="0.25">
      <c r="A14" s="2">
        <v>1</v>
      </c>
      <c r="B14" s="2">
        <v>418</v>
      </c>
      <c r="C14" s="4">
        <v>37751</v>
      </c>
      <c r="D14" s="2" t="s">
        <v>830</v>
      </c>
      <c r="E14" s="2" t="s">
        <v>629</v>
      </c>
      <c r="K14" s="2">
        <v>90</v>
      </c>
      <c r="N14" s="2" t="s">
        <v>831</v>
      </c>
    </row>
    <row r="15" spans="1:15" x14ac:dyDescent="0.25">
      <c r="A15" s="2">
        <v>1</v>
      </c>
      <c r="B15" s="2">
        <v>419</v>
      </c>
      <c r="C15" s="4">
        <v>37752</v>
      </c>
      <c r="D15" s="2" t="s">
        <v>1661</v>
      </c>
      <c r="E15" s="2" t="s">
        <v>822</v>
      </c>
      <c r="K15" s="2">
        <v>120</v>
      </c>
      <c r="L15" s="2">
        <v>32</v>
      </c>
      <c r="N15" s="2" t="s">
        <v>823</v>
      </c>
    </row>
    <row r="16" spans="1:15" x14ac:dyDescent="0.25">
      <c r="A16" s="2">
        <v>1</v>
      </c>
      <c r="B16" s="2">
        <v>420</v>
      </c>
      <c r="C16" s="4">
        <v>37764</v>
      </c>
      <c r="D16" s="2" t="s">
        <v>1661</v>
      </c>
      <c r="E16" s="2" t="s">
        <v>635</v>
      </c>
      <c r="I16" s="2">
        <v>2200</v>
      </c>
      <c r="K16" s="2">
        <v>180</v>
      </c>
      <c r="L16" s="2">
        <v>32</v>
      </c>
      <c r="N16" s="2" t="s">
        <v>824</v>
      </c>
    </row>
    <row r="17" spans="1:14" x14ac:dyDescent="0.25">
      <c r="A17" s="2">
        <v>1</v>
      </c>
      <c r="B17" s="2">
        <v>421</v>
      </c>
      <c r="C17" s="4">
        <v>37808</v>
      </c>
      <c r="D17" s="2" t="s">
        <v>1661</v>
      </c>
      <c r="E17" s="2" t="s">
        <v>825</v>
      </c>
      <c r="I17" s="2">
        <v>1900</v>
      </c>
      <c r="J17" s="2">
        <v>1600</v>
      </c>
      <c r="K17" s="2">
        <v>180</v>
      </c>
      <c r="L17" s="2">
        <v>56</v>
      </c>
      <c r="N17" s="2" t="s">
        <v>826</v>
      </c>
    </row>
    <row r="18" spans="1:14" x14ac:dyDescent="0.25">
      <c r="A18" s="2">
        <v>1</v>
      </c>
      <c r="B18" s="2">
        <v>422</v>
      </c>
      <c r="C18" s="4">
        <v>37787</v>
      </c>
      <c r="D18" s="2" t="s">
        <v>1661</v>
      </c>
      <c r="K18" s="2">
        <v>15</v>
      </c>
      <c r="N18" s="2" t="s">
        <v>832</v>
      </c>
    </row>
    <row r="19" spans="1:14" x14ac:dyDescent="0.25">
      <c r="A19" s="2">
        <v>1</v>
      </c>
      <c r="B19" s="2">
        <v>423</v>
      </c>
      <c r="C19" s="4">
        <v>37787</v>
      </c>
      <c r="D19" s="2" t="s">
        <v>1661</v>
      </c>
      <c r="K19" s="2">
        <v>15</v>
      </c>
      <c r="N19" s="2" t="s">
        <v>832</v>
      </c>
    </row>
    <row r="20" spans="1:14" x14ac:dyDescent="0.25">
      <c r="A20" s="2">
        <v>1</v>
      </c>
      <c r="B20" s="2">
        <v>424</v>
      </c>
      <c r="C20" s="4">
        <v>37787</v>
      </c>
      <c r="D20" s="2" t="s">
        <v>1661</v>
      </c>
      <c r="K20" s="2">
        <v>15</v>
      </c>
      <c r="N20" s="2" t="s">
        <v>832</v>
      </c>
    </row>
    <row r="21" spans="1:14" x14ac:dyDescent="0.25">
      <c r="A21" s="2">
        <v>1</v>
      </c>
      <c r="B21" s="2">
        <v>425</v>
      </c>
      <c r="C21" s="4">
        <v>37787</v>
      </c>
      <c r="D21" s="2" t="s">
        <v>1661</v>
      </c>
      <c r="K21" s="2">
        <v>15</v>
      </c>
      <c r="N21" s="2" t="s">
        <v>832</v>
      </c>
    </row>
    <row r="22" spans="1:14" x14ac:dyDescent="0.25">
      <c r="A22" s="2">
        <v>1</v>
      </c>
      <c r="B22" s="2">
        <v>426</v>
      </c>
      <c r="C22" s="4">
        <v>37787</v>
      </c>
      <c r="D22" s="2" t="s">
        <v>1661</v>
      </c>
      <c r="K22" s="2">
        <v>15</v>
      </c>
      <c r="N22" s="2" t="s">
        <v>832</v>
      </c>
    </row>
    <row r="23" spans="1:14" x14ac:dyDescent="0.25">
      <c r="A23" s="2">
        <v>1</v>
      </c>
      <c r="B23" s="2">
        <v>427</v>
      </c>
      <c r="C23" s="4">
        <v>37787</v>
      </c>
      <c r="D23" s="2" t="s">
        <v>1661</v>
      </c>
      <c r="K23" s="2">
        <v>15</v>
      </c>
      <c r="N23" s="2" t="s">
        <v>832</v>
      </c>
    </row>
    <row r="24" spans="1:14" x14ac:dyDescent="0.25">
      <c r="A24" s="2">
        <v>1</v>
      </c>
      <c r="B24" s="2">
        <v>428</v>
      </c>
      <c r="C24" s="4">
        <v>37787</v>
      </c>
      <c r="D24" s="2" t="s">
        <v>1661</v>
      </c>
      <c r="K24" s="2">
        <v>15</v>
      </c>
      <c r="N24" s="2" t="s">
        <v>832</v>
      </c>
    </row>
    <row r="25" spans="1:14" x14ac:dyDescent="0.25">
      <c r="A25" s="2">
        <v>1</v>
      </c>
      <c r="B25" s="2">
        <v>429</v>
      </c>
      <c r="C25" s="4">
        <v>37787</v>
      </c>
      <c r="D25" s="2" t="s">
        <v>1661</v>
      </c>
      <c r="K25" s="2">
        <v>15</v>
      </c>
      <c r="N25" s="2" t="s">
        <v>832</v>
      </c>
    </row>
    <row r="26" spans="1:14" x14ac:dyDescent="0.25">
      <c r="A26" s="2">
        <v>1</v>
      </c>
      <c r="B26" s="2">
        <v>430</v>
      </c>
      <c r="C26" s="4">
        <v>37787</v>
      </c>
      <c r="D26" s="2" t="s">
        <v>1661</v>
      </c>
      <c r="K26" s="2">
        <v>15</v>
      </c>
      <c r="N26" s="2" t="s">
        <v>832</v>
      </c>
    </row>
    <row r="27" spans="1:14" x14ac:dyDescent="0.25">
      <c r="A27" s="2">
        <v>1</v>
      </c>
      <c r="B27" s="2">
        <v>431</v>
      </c>
      <c r="C27" s="4">
        <v>37787</v>
      </c>
      <c r="D27" s="2" t="s">
        <v>1661</v>
      </c>
      <c r="K27" s="2">
        <v>15</v>
      </c>
      <c r="N27" s="2" t="s">
        <v>832</v>
      </c>
    </row>
    <row r="28" spans="1:14" x14ac:dyDescent="0.25">
      <c r="A28" s="2">
        <v>1</v>
      </c>
      <c r="B28" s="2">
        <v>432</v>
      </c>
      <c r="C28" s="4">
        <v>37787</v>
      </c>
      <c r="D28" s="2" t="s">
        <v>1661</v>
      </c>
      <c r="K28" s="2">
        <v>15</v>
      </c>
      <c r="N28" s="2" t="s">
        <v>832</v>
      </c>
    </row>
    <row r="29" spans="1:14" x14ac:dyDescent="0.25">
      <c r="A29" s="2">
        <v>1</v>
      </c>
      <c r="B29" s="2">
        <v>433</v>
      </c>
      <c r="C29" s="4">
        <v>37787</v>
      </c>
      <c r="D29" s="2" t="s">
        <v>1661</v>
      </c>
      <c r="K29" s="2">
        <v>15</v>
      </c>
      <c r="N29" s="2" t="s">
        <v>832</v>
      </c>
    </row>
    <row r="30" spans="1:14" x14ac:dyDescent="0.25">
      <c r="A30" s="2">
        <v>1</v>
      </c>
      <c r="B30" s="2">
        <v>434</v>
      </c>
      <c r="C30" s="4">
        <v>37787</v>
      </c>
      <c r="D30" s="2" t="s">
        <v>1661</v>
      </c>
      <c r="K30" s="2">
        <v>15</v>
      </c>
      <c r="N30" s="2" t="s">
        <v>832</v>
      </c>
    </row>
    <row r="31" spans="1:14" x14ac:dyDescent="0.25">
      <c r="A31" s="2">
        <v>1</v>
      </c>
      <c r="B31" s="2">
        <v>435</v>
      </c>
      <c r="C31" s="4">
        <v>37787</v>
      </c>
      <c r="D31" s="2" t="s">
        <v>1661</v>
      </c>
      <c r="K31" s="2">
        <v>15</v>
      </c>
      <c r="N31" s="2" t="s">
        <v>832</v>
      </c>
    </row>
    <row r="32" spans="1:14" x14ac:dyDescent="0.25">
      <c r="A32" s="2">
        <v>1</v>
      </c>
      <c r="B32" s="2">
        <v>436</v>
      </c>
      <c r="C32" s="4">
        <v>37839</v>
      </c>
      <c r="D32" s="2" t="s">
        <v>1661</v>
      </c>
      <c r="E32" s="2" t="s">
        <v>805</v>
      </c>
      <c r="K32" s="2">
        <v>7</v>
      </c>
    </row>
    <row r="33" spans="1:14" x14ac:dyDescent="0.25">
      <c r="A33" s="2">
        <v>1</v>
      </c>
      <c r="B33" s="2">
        <v>437</v>
      </c>
      <c r="C33" s="4">
        <v>37855</v>
      </c>
      <c r="D33" s="2" t="s">
        <v>1661</v>
      </c>
      <c r="E33" s="2" t="s">
        <v>1650</v>
      </c>
      <c r="K33" s="2">
        <v>15</v>
      </c>
    </row>
    <row r="34" spans="1:14" x14ac:dyDescent="0.25">
      <c r="A34" s="2">
        <v>1</v>
      </c>
      <c r="B34" s="2">
        <v>438</v>
      </c>
      <c r="C34" s="4">
        <v>37855</v>
      </c>
      <c r="D34" s="2" t="s">
        <v>1661</v>
      </c>
      <c r="E34" s="2" t="s">
        <v>1650</v>
      </c>
      <c r="G34" s="2">
        <v>4</v>
      </c>
      <c r="H34" s="2">
        <v>-4</v>
      </c>
      <c r="I34" s="2">
        <v>1714</v>
      </c>
      <c r="J34" s="2">
        <v>162</v>
      </c>
      <c r="K34" s="2">
        <v>90</v>
      </c>
    </row>
    <row r="35" spans="1:14" x14ac:dyDescent="0.25">
      <c r="A35" s="2">
        <v>1</v>
      </c>
      <c r="B35" s="2">
        <v>439</v>
      </c>
      <c r="C35" s="4">
        <v>37856</v>
      </c>
      <c r="D35" s="2" t="s">
        <v>1661</v>
      </c>
      <c r="E35" s="2" t="s">
        <v>1650</v>
      </c>
      <c r="G35" s="2">
        <v>4</v>
      </c>
      <c r="H35" s="2">
        <v>-3</v>
      </c>
      <c r="I35" s="2">
        <v>1290</v>
      </c>
      <c r="J35" s="2">
        <v>175</v>
      </c>
      <c r="K35" s="2">
        <v>53</v>
      </c>
    </row>
    <row r="36" spans="1:14" x14ac:dyDescent="0.25">
      <c r="A36" s="2">
        <v>1</v>
      </c>
      <c r="B36" s="2">
        <v>440</v>
      </c>
      <c r="C36" s="4">
        <v>37862</v>
      </c>
      <c r="D36" s="2" t="s">
        <v>1661</v>
      </c>
      <c r="E36" s="2" t="s">
        <v>789</v>
      </c>
      <c r="K36" s="2">
        <v>17</v>
      </c>
    </row>
    <row r="37" spans="1:14" x14ac:dyDescent="0.25">
      <c r="A37" s="2">
        <v>1</v>
      </c>
      <c r="B37" s="2">
        <v>441</v>
      </c>
      <c r="C37" s="4">
        <v>37862</v>
      </c>
      <c r="D37" s="2" t="s">
        <v>1661</v>
      </c>
      <c r="E37" s="2" t="s">
        <v>1650</v>
      </c>
      <c r="G37" s="2">
        <v>2</v>
      </c>
      <c r="H37" s="2">
        <v>-2</v>
      </c>
      <c r="I37" s="2">
        <v>1300</v>
      </c>
      <c r="J37" s="2">
        <v>100</v>
      </c>
      <c r="K37" s="2">
        <v>31</v>
      </c>
    </row>
    <row r="38" spans="1:14" x14ac:dyDescent="0.25">
      <c r="A38" s="2">
        <v>1</v>
      </c>
      <c r="B38" s="2">
        <v>442</v>
      </c>
      <c r="C38" s="4">
        <v>37865</v>
      </c>
      <c r="D38" s="2" t="s">
        <v>1661</v>
      </c>
      <c r="E38" s="2" t="s">
        <v>1650</v>
      </c>
      <c r="K38" s="2">
        <v>25</v>
      </c>
    </row>
    <row r="39" spans="1:14" x14ac:dyDescent="0.25">
      <c r="A39" s="2">
        <v>1</v>
      </c>
      <c r="B39" s="2">
        <v>443</v>
      </c>
      <c r="C39" s="4">
        <v>37866</v>
      </c>
      <c r="D39" s="2" t="s">
        <v>1661</v>
      </c>
      <c r="E39" s="2" t="s">
        <v>1650</v>
      </c>
      <c r="G39" s="2">
        <v>3</v>
      </c>
      <c r="H39" s="2">
        <v>-4</v>
      </c>
      <c r="I39" s="2">
        <v>1613</v>
      </c>
      <c r="J39" s="2">
        <v>513</v>
      </c>
      <c r="K39" s="2">
        <v>46</v>
      </c>
    </row>
    <row r="40" spans="1:14" x14ac:dyDescent="0.25">
      <c r="A40" s="2">
        <v>1</v>
      </c>
      <c r="B40" s="2">
        <v>444</v>
      </c>
      <c r="C40" s="4">
        <v>37877</v>
      </c>
      <c r="D40" s="2" t="s">
        <v>1661</v>
      </c>
      <c r="E40" s="2" t="s">
        <v>806</v>
      </c>
      <c r="G40" s="2">
        <v>4</v>
      </c>
      <c r="H40" s="2">
        <v>-5</v>
      </c>
      <c r="I40" s="2">
        <v>1734</v>
      </c>
      <c r="J40" s="2">
        <v>925</v>
      </c>
      <c r="K40" s="2">
        <v>191</v>
      </c>
    </row>
    <row r="41" spans="1:14" x14ac:dyDescent="0.25">
      <c r="A41" s="2">
        <v>1</v>
      </c>
      <c r="B41" s="2">
        <v>445</v>
      </c>
      <c r="C41" s="4">
        <v>37878</v>
      </c>
      <c r="D41" s="2" t="s">
        <v>1661</v>
      </c>
      <c r="E41" s="2" t="s">
        <v>789</v>
      </c>
      <c r="G41" s="2">
        <v>4</v>
      </c>
      <c r="H41" s="2">
        <v>-4</v>
      </c>
      <c r="I41" s="2">
        <v>1480</v>
      </c>
      <c r="J41" s="2">
        <v>300</v>
      </c>
      <c r="K41" s="2">
        <v>45</v>
      </c>
    </row>
    <row r="42" spans="1:14" x14ac:dyDescent="0.25">
      <c r="A42" s="2">
        <v>1</v>
      </c>
      <c r="B42" s="2">
        <v>446</v>
      </c>
      <c r="C42" s="4">
        <v>37880</v>
      </c>
      <c r="D42" s="2" t="s">
        <v>1661</v>
      </c>
      <c r="E42" s="2" t="s">
        <v>1620</v>
      </c>
      <c r="I42" s="2">
        <v>2170</v>
      </c>
      <c r="J42" s="2">
        <v>470</v>
      </c>
      <c r="K42" s="2">
        <v>106</v>
      </c>
      <c r="L42" s="2">
        <v>10</v>
      </c>
      <c r="N42" s="2" t="s">
        <v>1724</v>
      </c>
    </row>
    <row r="43" spans="1:14" x14ac:dyDescent="0.25">
      <c r="A43" s="2">
        <v>1</v>
      </c>
      <c r="B43" s="2">
        <v>447</v>
      </c>
      <c r="C43" s="4">
        <v>37880</v>
      </c>
      <c r="D43" s="2" t="s">
        <v>1661</v>
      </c>
      <c r="E43" s="2" t="s">
        <v>1620</v>
      </c>
      <c r="I43" s="2">
        <v>2575</v>
      </c>
      <c r="J43" s="2">
        <v>875</v>
      </c>
      <c r="K43" s="2">
        <v>99</v>
      </c>
      <c r="L43" s="2">
        <v>25</v>
      </c>
      <c r="N43" s="2" t="s">
        <v>1725</v>
      </c>
    </row>
    <row r="44" spans="1:14" x14ac:dyDescent="0.25">
      <c r="A44" s="2">
        <v>1</v>
      </c>
      <c r="B44" s="2">
        <v>448</v>
      </c>
      <c r="C44" s="4">
        <v>37888</v>
      </c>
      <c r="D44" s="2" t="s">
        <v>1661</v>
      </c>
      <c r="E44" s="2" t="s">
        <v>1726</v>
      </c>
      <c r="K44" s="2">
        <v>74</v>
      </c>
      <c r="N44" s="2" t="s">
        <v>1727</v>
      </c>
    </row>
    <row r="45" spans="1:14" x14ac:dyDescent="0.25">
      <c r="A45" s="2">
        <v>1</v>
      </c>
      <c r="B45" s="2">
        <v>449</v>
      </c>
      <c r="C45" s="4">
        <v>37904</v>
      </c>
      <c r="D45" s="2" t="s">
        <v>1661</v>
      </c>
      <c r="E45" s="2" t="s">
        <v>1650</v>
      </c>
      <c r="K45" s="2">
        <v>10</v>
      </c>
      <c r="N45" s="2" t="s">
        <v>1727</v>
      </c>
    </row>
    <row r="46" spans="1:14" x14ac:dyDescent="0.25">
      <c r="A46" s="2">
        <v>1</v>
      </c>
      <c r="B46" s="2">
        <v>450</v>
      </c>
      <c r="C46" s="4">
        <v>37904</v>
      </c>
      <c r="D46" s="2" t="s">
        <v>1661</v>
      </c>
      <c r="E46" s="2" t="s">
        <v>1650</v>
      </c>
      <c r="K46" s="2">
        <v>18</v>
      </c>
      <c r="N46" s="2" t="s">
        <v>1727</v>
      </c>
    </row>
    <row r="47" spans="1:14" x14ac:dyDescent="0.25">
      <c r="A47" s="2">
        <v>1</v>
      </c>
      <c r="B47" s="2">
        <v>451</v>
      </c>
      <c r="C47" s="4">
        <v>37933</v>
      </c>
      <c r="D47" s="2" t="s">
        <v>1661</v>
      </c>
      <c r="E47" s="2" t="s">
        <v>1650</v>
      </c>
      <c r="K47" s="2">
        <v>10</v>
      </c>
      <c r="N47" s="2" t="s">
        <v>1727</v>
      </c>
    </row>
    <row r="48" spans="1:14" x14ac:dyDescent="0.25">
      <c r="A48" s="2">
        <v>1</v>
      </c>
      <c r="B48" s="2">
        <v>452</v>
      </c>
      <c r="C48" s="4">
        <v>37933</v>
      </c>
      <c r="D48" s="2" t="s">
        <v>1661</v>
      </c>
      <c r="E48" s="2" t="s">
        <v>1650</v>
      </c>
      <c r="K48" s="2">
        <v>17</v>
      </c>
      <c r="N48" s="2" t="s">
        <v>1727</v>
      </c>
    </row>
    <row r="49" spans="1:14" x14ac:dyDescent="0.25">
      <c r="A49" s="2">
        <v>1</v>
      </c>
      <c r="B49" s="2">
        <v>453</v>
      </c>
      <c r="C49" s="4">
        <v>37933</v>
      </c>
      <c r="D49" s="2" t="s">
        <v>1661</v>
      </c>
      <c r="E49" s="2" t="s">
        <v>1650</v>
      </c>
      <c r="K49" s="2">
        <v>9</v>
      </c>
      <c r="N49" s="2" t="s">
        <v>1727</v>
      </c>
    </row>
    <row r="50" spans="1:14" x14ac:dyDescent="0.25">
      <c r="D50" s="17"/>
    </row>
    <row r="51" spans="1:14" x14ac:dyDescent="0.25">
      <c r="D51" s="17"/>
    </row>
    <row r="52" spans="1:14" x14ac:dyDescent="0.25">
      <c r="D52" s="17"/>
    </row>
    <row r="53" spans="1:14" x14ac:dyDescent="0.25">
      <c r="D53" s="17"/>
    </row>
    <row r="54" spans="1:14" x14ac:dyDescent="0.25">
      <c r="D54" s="17"/>
    </row>
    <row r="55" spans="1:14" x14ac:dyDescent="0.25">
      <c r="D55" s="17"/>
    </row>
    <row r="56" spans="1:14" x14ac:dyDescent="0.25">
      <c r="D56" s="17"/>
    </row>
    <row r="57" spans="1:14" x14ac:dyDescent="0.25">
      <c r="D57" s="17"/>
    </row>
    <row r="58" spans="1:14" x14ac:dyDescent="0.25">
      <c r="D58" s="17"/>
    </row>
    <row r="59" spans="1:14" x14ac:dyDescent="0.25">
      <c r="D59" s="17"/>
    </row>
    <row r="60" spans="1:14" x14ac:dyDescent="0.25">
      <c r="D60" s="17"/>
    </row>
    <row r="61" spans="1:14" x14ac:dyDescent="0.25">
      <c r="D61" s="17"/>
    </row>
    <row r="62" spans="1:14" x14ac:dyDescent="0.25">
      <c r="D62" s="17"/>
    </row>
    <row r="163" ht="36" customHeight="1" x14ac:dyDescent="0.25"/>
    <row r="164" ht="36" customHeight="1" x14ac:dyDescent="0.25"/>
  </sheetData>
  <phoneticPr fontId="0" type="noConversion"/>
  <pageMargins left="0.78740157499999996" right="0.78740157499999996" top="0.984251969" bottom="0.984251969" header="0.4921259845" footer="0.492125984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4"/>
  <sheetViews>
    <sheetView workbookViewId="0">
      <selection activeCell="D17" sqref="D17"/>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7.109375" style="2" customWidth="1"/>
    <col min="5" max="5" width="11.44140625" style="2" customWidth="1"/>
    <col min="6" max="6" width="10.5546875" style="2" bestFit="1" customWidth="1"/>
    <col min="7" max="7" width="4.44140625" style="2" bestFit="1" customWidth="1"/>
    <col min="8" max="8" width="3.6640625" style="2" customWidth="1"/>
    <col min="9" max="10" width="4.109375" style="2" customWidth="1"/>
    <col min="11" max="11" width="6.44140625" style="2" customWidth="1"/>
    <col min="12" max="12" width="3.6640625" style="2" customWidth="1"/>
    <col min="13" max="13" width="13.109375" style="2" customWidth="1"/>
    <col min="14" max="14" width="62.44140625" style="2" customWidth="1"/>
    <col min="15" max="15" width="10.33203125" style="2" customWidth="1"/>
    <col min="16" max="16384" width="11.44140625" style="2"/>
  </cols>
  <sheetData>
    <row r="1" spans="1:15"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1" t="s">
        <v>1179</v>
      </c>
      <c r="M1" s="1" t="s">
        <v>1168</v>
      </c>
      <c r="N1" s="1" t="s">
        <v>1162</v>
      </c>
      <c r="O1" s="1" t="s">
        <v>1163</v>
      </c>
    </row>
    <row r="2" spans="1:15" ht="20.399999999999999" x14ac:dyDescent="0.25">
      <c r="A2" s="2">
        <v>1</v>
      </c>
      <c r="B2" s="2">
        <v>359</v>
      </c>
      <c r="C2" s="4">
        <v>37283</v>
      </c>
      <c r="D2" s="2" t="s">
        <v>642</v>
      </c>
      <c r="E2" s="2" t="s">
        <v>1620</v>
      </c>
      <c r="F2" s="2" t="s">
        <v>770</v>
      </c>
      <c r="G2" s="2">
        <v>1</v>
      </c>
      <c r="H2" s="2">
        <v>-8.1</v>
      </c>
      <c r="I2" s="2">
        <v>1800</v>
      </c>
      <c r="J2" s="2">
        <v>0</v>
      </c>
      <c r="K2" s="2">
        <v>13</v>
      </c>
      <c r="N2" s="2" t="s">
        <v>771</v>
      </c>
    </row>
    <row r="3" spans="1:15" ht="20.399999999999999" x14ac:dyDescent="0.25">
      <c r="A3" s="2">
        <v>1</v>
      </c>
      <c r="B3" s="2">
        <v>360</v>
      </c>
      <c r="C3" s="4">
        <v>37283</v>
      </c>
      <c r="D3" s="2" t="s">
        <v>642</v>
      </c>
      <c r="E3" s="2" t="s">
        <v>1620</v>
      </c>
      <c r="F3" s="2" t="s">
        <v>770</v>
      </c>
      <c r="G3" s="2">
        <v>0</v>
      </c>
      <c r="H3" s="2">
        <v>-5</v>
      </c>
      <c r="I3" s="2">
        <v>1800</v>
      </c>
      <c r="J3" s="2">
        <v>0</v>
      </c>
      <c r="K3" s="2">
        <v>16</v>
      </c>
      <c r="N3" s="2" t="s">
        <v>772</v>
      </c>
    </row>
    <row r="4" spans="1:15" ht="20.399999999999999" x14ac:dyDescent="0.25">
      <c r="A4" s="2">
        <v>1</v>
      </c>
      <c r="B4" s="2">
        <v>361</v>
      </c>
      <c r="C4" s="4">
        <v>37283</v>
      </c>
      <c r="D4" s="2" t="s">
        <v>642</v>
      </c>
      <c r="E4" s="2" t="s">
        <v>1620</v>
      </c>
      <c r="F4" s="2" t="s">
        <v>770</v>
      </c>
      <c r="G4" s="2">
        <v>2</v>
      </c>
      <c r="H4" s="2">
        <v>-4</v>
      </c>
      <c r="I4" s="2">
        <v>1800</v>
      </c>
      <c r="J4" s="2">
        <v>0</v>
      </c>
      <c r="K4" s="2">
        <v>28</v>
      </c>
      <c r="N4" s="2" t="s">
        <v>773</v>
      </c>
    </row>
    <row r="5" spans="1:15" ht="20.399999999999999" x14ac:dyDescent="0.25">
      <c r="A5" s="2">
        <v>1</v>
      </c>
      <c r="B5" s="2">
        <v>362</v>
      </c>
      <c r="C5" s="4">
        <v>37283</v>
      </c>
      <c r="D5" s="2" t="s">
        <v>642</v>
      </c>
      <c r="E5" s="2" t="s">
        <v>1620</v>
      </c>
      <c r="F5" s="2" t="s">
        <v>770</v>
      </c>
      <c r="G5" s="2">
        <v>1.5</v>
      </c>
      <c r="H5" s="2">
        <v>-6</v>
      </c>
      <c r="I5" s="2">
        <v>1800</v>
      </c>
      <c r="J5" s="2">
        <v>0</v>
      </c>
      <c r="K5" s="2">
        <v>24</v>
      </c>
      <c r="N5" s="2" t="s">
        <v>774</v>
      </c>
    </row>
    <row r="6" spans="1:15" ht="20.399999999999999" x14ac:dyDescent="0.25">
      <c r="A6" s="2">
        <v>1</v>
      </c>
      <c r="B6" s="2">
        <v>363</v>
      </c>
      <c r="C6" s="4">
        <v>37297</v>
      </c>
      <c r="D6" s="2" t="s">
        <v>659</v>
      </c>
      <c r="E6" s="2" t="s">
        <v>1620</v>
      </c>
      <c r="K6" s="2">
        <v>20</v>
      </c>
      <c r="N6" s="2" t="s">
        <v>1715</v>
      </c>
    </row>
    <row r="7" spans="1:15" ht="20.399999999999999" x14ac:dyDescent="0.25">
      <c r="A7" s="2">
        <v>1</v>
      </c>
      <c r="B7" s="2">
        <v>364</v>
      </c>
      <c r="C7" s="4">
        <v>37297</v>
      </c>
      <c r="D7" s="2" t="s">
        <v>659</v>
      </c>
      <c r="E7" s="2" t="s">
        <v>1620</v>
      </c>
      <c r="K7" s="2">
        <v>20</v>
      </c>
      <c r="N7" s="2" t="s">
        <v>1715</v>
      </c>
    </row>
    <row r="8" spans="1:15" ht="20.399999999999999" x14ac:dyDescent="0.25">
      <c r="A8" s="2">
        <v>1</v>
      </c>
      <c r="B8" s="2">
        <v>365</v>
      </c>
      <c r="C8" s="4">
        <v>37324</v>
      </c>
      <c r="D8" s="2" t="s">
        <v>642</v>
      </c>
      <c r="E8" s="2" t="s">
        <v>612</v>
      </c>
      <c r="F8" s="2" t="s">
        <v>1713</v>
      </c>
      <c r="G8" s="2">
        <v>0</v>
      </c>
      <c r="K8" s="2">
        <v>1</v>
      </c>
      <c r="N8" s="2" t="s">
        <v>1714</v>
      </c>
    </row>
    <row r="9" spans="1:15" ht="30.6" x14ac:dyDescent="0.25">
      <c r="A9" s="2">
        <v>1</v>
      </c>
      <c r="B9" s="2">
        <v>366</v>
      </c>
      <c r="C9" s="4">
        <v>37325</v>
      </c>
      <c r="D9" s="2" t="s">
        <v>642</v>
      </c>
      <c r="E9" s="2" t="s">
        <v>1620</v>
      </c>
      <c r="F9" s="2" t="s">
        <v>1711</v>
      </c>
      <c r="G9" s="2">
        <v>3</v>
      </c>
      <c r="H9" s="2">
        <v>-5</v>
      </c>
      <c r="I9" s="2">
        <v>1941</v>
      </c>
      <c r="J9" s="2">
        <v>140</v>
      </c>
      <c r="K9" s="2">
        <v>28</v>
      </c>
    </row>
    <row r="10" spans="1:15" ht="36" customHeight="1" x14ac:dyDescent="0.25">
      <c r="A10" s="2">
        <v>1</v>
      </c>
      <c r="B10" s="2">
        <v>367</v>
      </c>
      <c r="C10" s="4">
        <v>37325</v>
      </c>
      <c r="D10" s="2" t="s">
        <v>642</v>
      </c>
      <c r="E10" s="2" t="s">
        <v>1620</v>
      </c>
      <c r="F10" s="2" t="s">
        <v>1711</v>
      </c>
      <c r="G10" s="2">
        <v>1</v>
      </c>
      <c r="H10" s="2">
        <v>-5</v>
      </c>
      <c r="I10" s="2">
        <v>1800</v>
      </c>
      <c r="J10" s="2">
        <v>0</v>
      </c>
      <c r="K10" s="2">
        <v>18</v>
      </c>
    </row>
    <row r="11" spans="1:15" ht="36" customHeight="1" x14ac:dyDescent="0.25">
      <c r="A11" s="2">
        <v>1</v>
      </c>
      <c r="B11" s="2">
        <v>368</v>
      </c>
      <c r="C11" s="4">
        <v>37325</v>
      </c>
      <c r="D11" s="2" t="s">
        <v>642</v>
      </c>
      <c r="E11" s="2" t="s">
        <v>1620</v>
      </c>
      <c r="F11" s="2" t="s">
        <v>1711</v>
      </c>
      <c r="G11" s="2">
        <v>4</v>
      </c>
      <c r="H11" s="2">
        <v>-6</v>
      </c>
      <c r="I11" s="2">
        <v>2200</v>
      </c>
      <c r="J11" s="2">
        <v>395</v>
      </c>
      <c r="K11" s="2">
        <v>67</v>
      </c>
      <c r="L11" s="2">
        <v>20</v>
      </c>
      <c r="M11" s="2" t="s">
        <v>1706</v>
      </c>
      <c r="N11" s="2" t="s">
        <v>1712</v>
      </c>
    </row>
    <row r="12" spans="1:15" ht="30.6" x14ac:dyDescent="0.25">
      <c r="A12" s="2">
        <v>1</v>
      </c>
      <c r="B12" s="2">
        <v>369</v>
      </c>
      <c r="C12" s="4">
        <v>37335</v>
      </c>
      <c r="D12" s="2" t="s">
        <v>642</v>
      </c>
      <c r="E12" s="2" t="s">
        <v>1620</v>
      </c>
      <c r="F12" s="2" t="s">
        <v>1371</v>
      </c>
      <c r="G12" s="2">
        <v>4.5</v>
      </c>
      <c r="H12" s="2">
        <v>-8</v>
      </c>
      <c r="I12" s="2">
        <v>2250</v>
      </c>
      <c r="J12" s="2">
        <v>445</v>
      </c>
      <c r="K12" s="2">
        <v>190</v>
      </c>
      <c r="N12" s="2" t="s">
        <v>1375</v>
      </c>
    </row>
    <row r="13" spans="1:15" ht="81.599999999999994" x14ac:dyDescent="0.25">
      <c r="A13" s="2">
        <v>1</v>
      </c>
      <c r="B13" s="2">
        <v>370</v>
      </c>
      <c r="C13" s="4">
        <v>37336</v>
      </c>
      <c r="D13" s="2" t="s">
        <v>642</v>
      </c>
      <c r="E13" s="2" t="s">
        <v>1620</v>
      </c>
      <c r="F13" s="2" t="s">
        <v>1371</v>
      </c>
      <c r="G13" s="2">
        <v>6</v>
      </c>
      <c r="H13" s="2">
        <v>-10.5</v>
      </c>
      <c r="I13" s="2">
        <v>2750</v>
      </c>
      <c r="J13" s="2">
        <v>950</v>
      </c>
      <c r="K13" s="2">
        <v>180</v>
      </c>
      <c r="L13" s="2">
        <v>40</v>
      </c>
      <c r="N13" s="2" t="s">
        <v>1378</v>
      </c>
    </row>
    <row r="14" spans="1:15" ht="20.399999999999999" x14ac:dyDescent="0.25">
      <c r="A14" s="2">
        <v>1</v>
      </c>
      <c r="B14" s="2">
        <v>371</v>
      </c>
      <c r="C14" s="4">
        <v>37337</v>
      </c>
      <c r="D14" s="2" t="s">
        <v>642</v>
      </c>
      <c r="E14" s="2" t="s">
        <v>1413</v>
      </c>
      <c r="F14" s="2" t="s">
        <v>1372</v>
      </c>
      <c r="G14" s="2">
        <v>2</v>
      </c>
      <c r="H14" s="2">
        <v>-4</v>
      </c>
      <c r="I14" s="2">
        <v>1650</v>
      </c>
      <c r="K14" s="2">
        <v>14</v>
      </c>
    </row>
    <row r="15" spans="1:15" ht="20.399999999999999" x14ac:dyDescent="0.25">
      <c r="A15" s="2">
        <v>1</v>
      </c>
      <c r="B15" s="2">
        <v>372</v>
      </c>
      <c r="C15" s="4">
        <v>37337</v>
      </c>
      <c r="D15" s="2" t="s">
        <v>642</v>
      </c>
      <c r="E15" s="2" t="s">
        <v>1413</v>
      </c>
      <c r="F15" s="2" t="s">
        <v>1372</v>
      </c>
      <c r="G15" s="2">
        <v>3.5</v>
      </c>
      <c r="H15" s="2">
        <v>-4</v>
      </c>
      <c r="I15" s="2">
        <v>1830</v>
      </c>
      <c r="J15" s="2">
        <v>180</v>
      </c>
      <c r="K15" s="2">
        <v>52</v>
      </c>
      <c r="N15" s="2" t="s">
        <v>1376</v>
      </c>
    </row>
    <row r="16" spans="1:15" ht="20.399999999999999" x14ac:dyDescent="0.25">
      <c r="A16" s="2">
        <v>1</v>
      </c>
      <c r="B16" s="2">
        <v>373</v>
      </c>
      <c r="C16" s="4">
        <v>37337</v>
      </c>
      <c r="D16" s="2" t="s">
        <v>642</v>
      </c>
      <c r="E16" s="2" t="s">
        <v>1413</v>
      </c>
      <c r="F16" s="2" t="s">
        <v>1372</v>
      </c>
      <c r="G16" s="2">
        <v>3</v>
      </c>
      <c r="H16" s="2">
        <v>-4</v>
      </c>
      <c r="I16" s="2">
        <v>1760</v>
      </c>
      <c r="K16" s="2">
        <v>47</v>
      </c>
      <c r="N16" s="2" t="s">
        <v>1377</v>
      </c>
    </row>
    <row r="17" spans="1:14" ht="20.399999999999999" x14ac:dyDescent="0.25">
      <c r="A17" s="2">
        <v>1</v>
      </c>
      <c r="B17" s="2">
        <v>374</v>
      </c>
      <c r="C17" s="4">
        <v>37338</v>
      </c>
      <c r="D17" s="2" t="s">
        <v>642</v>
      </c>
      <c r="E17" s="2" t="s">
        <v>1550</v>
      </c>
      <c r="F17" s="2" t="s">
        <v>1373</v>
      </c>
      <c r="G17" s="2">
        <v>3</v>
      </c>
      <c r="H17" s="2">
        <v>-4</v>
      </c>
      <c r="I17" s="2">
        <v>2140</v>
      </c>
      <c r="J17" s="2">
        <v>370</v>
      </c>
      <c r="K17" s="2">
        <v>32</v>
      </c>
      <c r="M17" s="2" t="s">
        <v>1379</v>
      </c>
      <c r="N17" s="2" t="s">
        <v>1716</v>
      </c>
    </row>
    <row r="18" spans="1:14" ht="142.80000000000001" x14ac:dyDescent="0.25">
      <c r="A18" s="2">
        <v>1</v>
      </c>
      <c r="B18" s="2">
        <v>375</v>
      </c>
      <c r="C18" s="4">
        <v>37339</v>
      </c>
      <c r="D18" s="2" t="s">
        <v>642</v>
      </c>
      <c r="E18" s="2" t="s">
        <v>1550</v>
      </c>
      <c r="F18" s="2" t="s">
        <v>1374</v>
      </c>
      <c r="G18" s="2">
        <v>5</v>
      </c>
      <c r="H18" s="2">
        <v>-5</v>
      </c>
      <c r="I18" s="2">
        <v>2910</v>
      </c>
      <c r="J18" s="2">
        <v>1200</v>
      </c>
      <c r="K18" s="2">
        <v>162</v>
      </c>
      <c r="L18" s="2">
        <v>32</v>
      </c>
      <c r="N18" s="2" t="s">
        <v>1380</v>
      </c>
    </row>
    <row r="19" spans="1:14" ht="20.399999999999999" x14ac:dyDescent="0.25">
      <c r="A19" s="2">
        <v>1</v>
      </c>
      <c r="B19" s="2">
        <v>376</v>
      </c>
      <c r="C19" s="4">
        <v>37364</v>
      </c>
      <c r="D19" s="2" t="s">
        <v>642</v>
      </c>
      <c r="K19" s="2">
        <v>25</v>
      </c>
    </row>
    <row r="20" spans="1:14" ht="20.399999999999999" x14ac:dyDescent="0.25">
      <c r="A20" s="2">
        <v>1</v>
      </c>
      <c r="B20" s="2">
        <v>377</v>
      </c>
      <c r="C20" s="4">
        <v>37365</v>
      </c>
      <c r="D20" s="2" t="s">
        <v>642</v>
      </c>
      <c r="K20" s="2">
        <v>54</v>
      </c>
    </row>
    <row r="21" spans="1:14" x14ac:dyDescent="0.25">
      <c r="A21" s="2">
        <v>1</v>
      </c>
      <c r="B21" s="2">
        <v>378</v>
      </c>
      <c r="C21" s="4">
        <v>37423</v>
      </c>
      <c r="K21" s="2">
        <v>15</v>
      </c>
    </row>
    <row r="22" spans="1:14" x14ac:dyDescent="0.25">
      <c r="A22" s="2">
        <v>1</v>
      </c>
      <c r="B22" s="2">
        <v>379</v>
      </c>
      <c r="C22" s="4">
        <v>37429</v>
      </c>
      <c r="D22" s="2" t="s">
        <v>1660</v>
      </c>
      <c r="K22" s="2">
        <v>14</v>
      </c>
    </row>
    <row r="23" spans="1:14" x14ac:dyDescent="0.25">
      <c r="A23" s="2">
        <v>1</v>
      </c>
      <c r="B23" s="2">
        <v>380</v>
      </c>
      <c r="C23" s="4">
        <v>37429</v>
      </c>
      <c r="D23" s="2" t="s">
        <v>1660</v>
      </c>
      <c r="K23" s="2">
        <v>62</v>
      </c>
    </row>
    <row r="24" spans="1:14" x14ac:dyDescent="0.25">
      <c r="A24" s="2">
        <v>1</v>
      </c>
      <c r="B24" s="2">
        <v>381</v>
      </c>
      <c r="C24" s="4">
        <v>37456</v>
      </c>
      <c r="D24" s="2" t="s">
        <v>1661</v>
      </c>
      <c r="E24" s="2" t="s">
        <v>1662</v>
      </c>
      <c r="G24" s="2">
        <v>3</v>
      </c>
      <c r="H24" s="2">
        <v>-8.4</v>
      </c>
      <c r="K24" s="2">
        <v>30</v>
      </c>
    </row>
    <row r="25" spans="1:14" x14ac:dyDescent="0.25">
      <c r="A25" s="2">
        <v>1</v>
      </c>
      <c r="B25" s="2">
        <v>382</v>
      </c>
      <c r="C25" s="4">
        <v>37480</v>
      </c>
      <c r="D25" s="2" t="s">
        <v>1661</v>
      </c>
      <c r="E25" s="2" t="s">
        <v>632</v>
      </c>
      <c r="G25" s="2">
        <v>4</v>
      </c>
      <c r="H25" s="2">
        <v>-8.4</v>
      </c>
      <c r="K25" s="2">
        <v>40</v>
      </c>
    </row>
    <row r="26" spans="1:14" x14ac:dyDescent="0.25">
      <c r="A26" s="2">
        <v>1</v>
      </c>
      <c r="B26" s="2">
        <v>383</v>
      </c>
      <c r="C26" s="4">
        <v>37481</v>
      </c>
      <c r="D26" s="2" t="s">
        <v>1661</v>
      </c>
      <c r="E26" s="2" t="s">
        <v>1663</v>
      </c>
      <c r="G26" s="2">
        <v>2.8</v>
      </c>
      <c r="H26" s="2">
        <v>-5</v>
      </c>
      <c r="K26" s="2">
        <v>18</v>
      </c>
    </row>
    <row r="27" spans="1:14" x14ac:dyDescent="0.25">
      <c r="A27" s="2">
        <v>1</v>
      </c>
      <c r="B27" s="2">
        <v>384</v>
      </c>
      <c r="C27" s="4">
        <v>37481</v>
      </c>
      <c r="D27" s="2" t="s">
        <v>1661</v>
      </c>
      <c r="E27" s="2" t="s">
        <v>1663</v>
      </c>
      <c r="G27" s="2">
        <v>4</v>
      </c>
      <c r="H27" s="2">
        <v>-6</v>
      </c>
      <c r="K27" s="2">
        <v>36</v>
      </c>
    </row>
    <row r="28" spans="1:14" x14ac:dyDescent="0.25">
      <c r="A28" s="2">
        <v>1</v>
      </c>
      <c r="B28" s="2">
        <v>385</v>
      </c>
      <c r="C28" s="4">
        <v>37481</v>
      </c>
      <c r="D28" s="2" t="s">
        <v>1661</v>
      </c>
      <c r="E28" s="2" t="s">
        <v>1664</v>
      </c>
      <c r="G28" s="2">
        <v>3</v>
      </c>
      <c r="H28" s="2">
        <v>-6</v>
      </c>
      <c r="K28" s="2">
        <v>34</v>
      </c>
    </row>
    <row r="29" spans="1:14" x14ac:dyDescent="0.25">
      <c r="A29" s="2">
        <v>1</v>
      </c>
      <c r="B29" s="2">
        <v>386</v>
      </c>
      <c r="C29" s="4">
        <v>37482</v>
      </c>
      <c r="D29" s="2" t="s">
        <v>1661</v>
      </c>
      <c r="E29" s="2" t="s">
        <v>632</v>
      </c>
      <c r="G29" s="2">
        <v>4</v>
      </c>
      <c r="H29" s="2">
        <v>-5</v>
      </c>
      <c r="I29" s="2">
        <v>1720</v>
      </c>
      <c r="J29" s="2">
        <v>425</v>
      </c>
      <c r="K29" s="2">
        <v>90</v>
      </c>
      <c r="L29" s="2">
        <v>30</v>
      </c>
      <c r="N29" s="2" t="s">
        <v>1665</v>
      </c>
    </row>
    <row r="30" spans="1:14" x14ac:dyDescent="0.25">
      <c r="A30" s="2">
        <v>1</v>
      </c>
      <c r="B30" s="2">
        <v>387</v>
      </c>
      <c r="C30" s="4">
        <v>37483</v>
      </c>
      <c r="D30" s="2" t="s">
        <v>1661</v>
      </c>
      <c r="E30" s="2" t="s">
        <v>1666</v>
      </c>
      <c r="G30" s="2">
        <v>3.5</v>
      </c>
      <c r="H30" s="2">
        <v>-4</v>
      </c>
      <c r="I30" s="2">
        <v>2285</v>
      </c>
      <c r="J30" s="2">
        <v>300</v>
      </c>
      <c r="K30" s="2">
        <v>49</v>
      </c>
    </row>
    <row r="31" spans="1:14" x14ac:dyDescent="0.25">
      <c r="A31" s="2">
        <v>1</v>
      </c>
      <c r="B31" s="2">
        <v>388</v>
      </c>
      <c r="C31" s="4">
        <v>37484</v>
      </c>
      <c r="D31" s="2" t="s">
        <v>1661</v>
      </c>
      <c r="E31" s="2" t="s">
        <v>1666</v>
      </c>
      <c r="G31" s="2">
        <v>5</v>
      </c>
      <c r="H31" s="2">
        <v>-4</v>
      </c>
      <c r="I31" s="2">
        <v>2636</v>
      </c>
      <c r="J31" s="2">
        <v>640</v>
      </c>
      <c r="K31" s="2">
        <v>95</v>
      </c>
      <c r="L31" s="2">
        <v>15</v>
      </c>
      <c r="N31" s="2" t="s">
        <v>1667</v>
      </c>
    </row>
    <row r="32" spans="1:14" x14ac:dyDescent="0.25">
      <c r="A32" s="2">
        <v>1</v>
      </c>
      <c r="B32" s="2">
        <v>389</v>
      </c>
      <c r="C32" s="4">
        <v>37484</v>
      </c>
      <c r="D32" s="2" t="s">
        <v>1661</v>
      </c>
      <c r="E32" s="2" t="s">
        <v>1668</v>
      </c>
      <c r="G32" s="2">
        <v>3</v>
      </c>
      <c r="H32" s="2">
        <v>-8.5</v>
      </c>
      <c r="I32" s="2">
        <v>1526</v>
      </c>
      <c r="J32" s="2">
        <v>600</v>
      </c>
      <c r="K32" s="2">
        <v>39</v>
      </c>
      <c r="L32" s="2">
        <v>12</v>
      </c>
      <c r="N32" s="2" t="s">
        <v>1669</v>
      </c>
    </row>
    <row r="33" spans="1:14" ht="20.399999999999999" x14ac:dyDescent="0.25">
      <c r="A33" s="2">
        <v>1</v>
      </c>
      <c r="B33" s="2">
        <v>390</v>
      </c>
      <c r="C33" s="4">
        <v>37485</v>
      </c>
      <c r="D33" s="2" t="s">
        <v>1661</v>
      </c>
      <c r="E33" s="2" t="s">
        <v>1670</v>
      </c>
      <c r="G33" s="2">
        <v>4.2</v>
      </c>
      <c r="H33" s="2">
        <v>-4</v>
      </c>
      <c r="I33" s="2">
        <v>2290</v>
      </c>
      <c r="J33" s="2">
        <v>625</v>
      </c>
      <c r="K33" s="2">
        <v>114</v>
      </c>
      <c r="L33" s="2">
        <v>19</v>
      </c>
      <c r="N33" s="2" t="s">
        <v>1671</v>
      </c>
    </row>
    <row r="34" spans="1:14" x14ac:dyDescent="0.25">
      <c r="A34" s="2">
        <v>1</v>
      </c>
      <c r="B34" s="2">
        <v>391</v>
      </c>
      <c r="C34" s="4">
        <v>37492</v>
      </c>
      <c r="D34" s="2" t="s">
        <v>1661</v>
      </c>
      <c r="H34" s="2">
        <v>-12</v>
      </c>
      <c r="I34" s="2">
        <v>1800</v>
      </c>
      <c r="J34" s="2">
        <v>0</v>
      </c>
      <c r="K34" s="2">
        <v>8</v>
      </c>
    </row>
    <row r="35" spans="1:14" x14ac:dyDescent="0.25">
      <c r="A35" s="2">
        <v>1</v>
      </c>
      <c r="B35" s="2">
        <v>392</v>
      </c>
      <c r="C35" s="4">
        <v>37492</v>
      </c>
      <c r="D35" s="2" t="s">
        <v>1661</v>
      </c>
      <c r="H35" s="2">
        <v>-11</v>
      </c>
      <c r="I35" s="2">
        <v>1800</v>
      </c>
      <c r="J35" s="2">
        <v>0</v>
      </c>
      <c r="K35" s="2">
        <v>8</v>
      </c>
      <c r="L35" s="2">
        <v>0</v>
      </c>
    </row>
    <row r="36" spans="1:14" x14ac:dyDescent="0.25">
      <c r="A36" s="2">
        <v>1</v>
      </c>
      <c r="B36" s="2">
        <v>393</v>
      </c>
      <c r="C36" s="4">
        <v>37512</v>
      </c>
      <c r="D36" s="2" t="s">
        <v>1661</v>
      </c>
      <c r="E36" s="2" t="s">
        <v>1717</v>
      </c>
      <c r="I36" s="2">
        <v>350</v>
      </c>
      <c r="J36" s="2">
        <v>0</v>
      </c>
      <c r="K36" s="2">
        <v>2</v>
      </c>
    </row>
    <row r="37" spans="1:14" x14ac:dyDescent="0.25">
      <c r="A37" s="2">
        <v>1</v>
      </c>
      <c r="B37" s="2">
        <v>394</v>
      </c>
      <c r="C37" s="4">
        <v>37513</v>
      </c>
      <c r="D37" s="2" t="s">
        <v>1661</v>
      </c>
      <c r="G37" s="2">
        <v>2</v>
      </c>
      <c r="H37" s="2">
        <v>-4</v>
      </c>
      <c r="I37" s="2">
        <v>1707</v>
      </c>
      <c r="J37" s="2">
        <v>0</v>
      </c>
      <c r="K37" s="2">
        <v>20</v>
      </c>
    </row>
    <row r="38" spans="1:14" x14ac:dyDescent="0.25">
      <c r="A38" s="2">
        <v>1</v>
      </c>
      <c r="B38" s="2">
        <v>395</v>
      </c>
      <c r="C38" s="4">
        <v>37513</v>
      </c>
      <c r="D38" s="2" t="s">
        <v>1661</v>
      </c>
      <c r="G38" s="2">
        <v>2</v>
      </c>
      <c r="H38" s="2">
        <v>-4.5</v>
      </c>
      <c r="I38" s="2">
        <v>1455</v>
      </c>
      <c r="J38" s="2">
        <v>171</v>
      </c>
      <c r="K38" s="2">
        <v>50</v>
      </c>
    </row>
    <row r="39" spans="1:14" x14ac:dyDescent="0.25">
      <c r="A39" s="2">
        <v>1</v>
      </c>
      <c r="B39" s="2">
        <v>396</v>
      </c>
      <c r="C39" s="4">
        <v>37513</v>
      </c>
      <c r="D39" s="2" t="s">
        <v>1661</v>
      </c>
      <c r="G39" s="2">
        <v>1</v>
      </c>
      <c r="H39" s="2">
        <v>-3</v>
      </c>
      <c r="I39" s="2">
        <v>1500</v>
      </c>
      <c r="J39" s="2">
        <v>212</v>
      </c>
      <c r="K39" s="2">
        <v>32</v>
      </c>
    </row>
    <row r="40" spans="1:14" x14ac:dyDescent="0.25">
      <c r="A40" s="2">
        <v>1</v>
      </c>
      <c r="B40" s="2">
        <v>397</v>
      </c>
      <c r="C40" s="4">
        <v>37514</v>
      </c>
      <c r="D40" s="2" t="s">
        <v>1661</v>
      </c>
      <c r="G40" s="2">
        <v>1</v>
      </c>
      <c r="H40" s="2">
        <v>-6</v>
      </c>
      <c r="I40" s="2">
        <v>1704</v>
      </c>
      <c r="J40" s="2">
        <v>0</v>
      </c>
      <c r="K40" s="2">
        <v>16</v>
      </c>
    </row>
    <row r="41" spans="1:14" x14ac:dyDescent="0.25">
      <c r="A41" s="2">
        <v>1</v>
      </c>
      <c r="B41" s="2">
        <v>398</v>
      </c>
      <c r="C41" s="4">
        <v>37527</v>
      </c>
      <c r="D41" s="2" t="s">
        <v>1661</v>
      </c>
      <c r="G41" s="2">
        <v>2.5</v>
      </c>
      <c r="H41" s="2">
        <v>-4</v>
      </c>
      <c r="I41" s="2">
        <v>1664</v>
      </c>
      <c r="J41" s="2">
        <v>0</v>
      </c>
      <c r="K41" s="2">
        <v>30</v>
      </c>
    </row>
    <row r="42" spans="1:14" x14ac:dyDescent="0.25">
      <c r="A42" s="2">
        <v>1</v>
      </c>
      <c r="B42" s="2">
        <v>399</v>
      </c>
      <c r="C42" s="4">
        <v>37527</v>
      </c>
      <c r="D42" s="2" t="s">
        <v>1661</v>
      </c>
      <c r="G42" s="2">
        <v>2</v>
      </c>
      <c r="H42" s="2">
        <v>-5</v>
      </c>
      <c r="I42" s="2">
        <v>1724</v>
      </c>
      <c r="J42" s="2">
        <v>0</v>
      </c>
      <c r="K42" s="2">
        <v>7</v>
      </c>
    </row>
    <row r="43" spans="1:14" x14ac:dyDescent="0.25">
      <c r="A43" s="2">
        <v>1</v>
      </c>
      <c r="B43" s="2">
        <v>400</v>
      </c>
      <c r="C43" s="4">
        <v>37528</v>
      </c>
      <c r="D43" s="2" t="s">
        <v>1661</v>
      </c>
      <c r="G43" s="2">
        <v>3</v>
      </c>
      <c r="H43" s="2">
        <v>-4</v>
      </c>
      <c r="I43" s="2">
        <v>2461</v>
      </c>
      <c r="J43" s="2">
        <v>763</v>
      </c>
      <c r="K43" s="2">
        <v>95</v>
      </c>
    </row>
    <row r="44" spans="1:14" x14ac:dyDescent="0.25">
      <c r="A44" s="2">
        <v>1</v>
      </c>
      <c r="B44" s="2">
        <v>401</v>
      </c>
      <c r="C44" s="4">
        <v>41195</v>
      </c>
      <c r="D44" s="2" t="s">
        <v>1661</v>
      </c>
      <c r="G44" s="2">
        <v>3</v>
      </c>
      <c r="H44" s="2">
        <v>-4</v>
      </c>
      <c r="I44" s="2">
        <v>2020</v>
      </c>
      <c r="J44" s="2">
        <v>322</v>
      </c>
      <c r="K44" s="2">
        <v>80</v>
      </c>
    </row>
    <row r="45" spans="1:14" ht="20.399999999999999" x14ac:dyDescent="0.25">
      <c r="A45" s="2">
        <v>1</v>
      </c>
      <c r="B45" s="2">
        <v>402</v>
      </c>
      <c r="C45" s="4">
        <v>37555</v>
      </c>
      <c r="D45" s="2" t="s">
        <v>659</v>
      </c>
      <c r="G45" s="2">
        <v>0</v>
      </c>
      <c r="H45" s="2">
        <v>0</v>
      </c>
      <c r="K45" s="2">
        <v>10</v>
      </c>
      <c r="N45" s="2" t="s">
        <v>1719</v>
      </c>
    </row>
    <row r="46" spans="1:14" ht="20.399999999999999" x14ac:dyDescent="0.25">
      <c r="A46" s="2">
        <v>1</v>
      </c>
      <c r="B46" s="2">
        <v>403</v>
      </c>
      <c r="C46" s="4">
        <v>37555</v>
      </c>
      <c r="D46" s="2" t="s">
        <v>659</v>
      </c>
      <c r="G46" s="2">
        <v>0</v>
      </c>
      <c r="H46" s="2">
        <v>0</v>
      </c>
      <c r="K46" s="2">
        <v>10</v>
      </c>
      <c r="N46" s="2" t="s">
        <v>1720</v>
      </c>
    </row>
    <row r="47" spans="1:14" ht="20.399999999999999" x14ac:dyDescent="0.25">
      <c r="A47" s="2">
        <v>1</v>
      </c>
      <c r="B47" s="2">
        <v>404</v>
      </c>
      <c r="C47" s="4">
        <v>37555</v>
      </c>
      <c r="D47" s="2" t="s">
        <v>659</v>
      </c>
      <c r="G47" s="2">
        <v>0</v>
      </c>
      <c r="H47" s="2">
        <v>0</v>
      </c>
      <c r="K47" s="2">
        <v>0</v>
      </c>
      <c r="N47" s="2" t="s">
        <v>1721</v>
      </c>
    </row>
    <row r="48" spans="1:14" x14ac:dyDescent="0.25">
      <c r="A48" s="2">
        <v>1</v>
      </c>
      <c r="B48" s="2">
        <v>405</v>
      </c>
      <c r="C48" s="4">
        <v>37568</v>
      </c>
      <c r="D48" s="2" t="s">
        <v>1661</v>
      </c>
      <c r="E48" s="2" t="s">
        <v>1718</v>
      </c>
      <c r="I48" s="2">
        <v>1800</v>
      </c>
      <c r="J48" s="2">
        <v>400</v>
      </c>
      <c r="K48" s="2">
        <v>180</v>
      </c>
      <c r="L48" s="2">
        <v>20</v>
      </c>
      <c r="N48" s="2" t="s">
        <v>1722</v>
      </c>
    </row>
    <row r="49" spans="4:4" x14ac:dyDescent="0.25">
      <c r="D49" s="17"/>
    </row>
    <row r="50" spans="4:4" x14ac:dyDescent="0.25">
      <c r="D50" s="17"/>
    </row>
    <row r="51" spans="4:4" x14ac:dyDescent="0.25">
      <c r="D51" s="17"/>
    </row>
    <row r="52" spans="4:4" x14ac:dyDescent="0.25">
      <c r="D52" s="17"/>
    </row>
    <row r="53" spans="4:4" x14ac:dyDescent="0.25">
      <c r="D53" s="17"/>
    </row>
    <row r="54" spans="4:4" x14ac:dyDescent="0.25">
      <c r="D54" s="17"/>
    </row>
    <row r="55" spans="4:4" x14ac:dyDescent="0.25">
      <c r="D55" s="17"/>
    </row>
    <row r="56" spans="4:4" x14ac:dyDescent="0.25">
      <c r="D56" s="17"/>
    </row>
    <row r="57" spans="4:4" x14ac:dyDescent="0.25">
      <c r="D57" s="17"/>
    </row>
    <row r="58" spans="4:4" x14ac:dyDescent="0.25">
      <c r="D58" s="17"/>
    </row>
    <row r="59" spans="4:4" x14ac:dyDescent="0.25">
      <c r="D59" s="17"/>
    </row>
    <row r="60" spans="4:4" x14ac:dyDescent="0.25">
      <c r="D60" s="17"/>
    </row>
    <row r="61" spans="4:4" x14ac:dyDescent="0.25">
      <c r="D61" s="17"/>
    </row>
    <row r="62" spans="4:4" x14ac:dyDescent="0.25">
      <c r="D62" s="17"/>
    </row>
    <row r="163" ht="36" customHeight="1" x14ac:dyDescent="0.25"/>
    <row r="164" ht="36" customHeight="1" x14ac:dyDescent="0.25"/>
  </sheetData>
  <phoneticPr fontId="0" type="noConversion"/>
  <pageMargins left="0.78740157499999996" right="0.78740157499999996" top="0.984251969" bottom="0.984251969" header="0.4921259845" footer="0.492125984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4"/>
  <sheetViews>
    <sheetView topLeftCell="C1" workbookViewId="0">
      <selection activeCell="D17" sqref="D17"/>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7.109375" style="2" customWidth="1"/>
    <col min="5" max="5" width="11.44140625" style="2" customWidth="1"/>
    <col min="6" max="6" width="10.5546875" style="2" bestFit="1" customWidth="1"/>
    <col min="7" max="7" width="4.44140625" style="2" bestFit="1" customWidth="1"/>
    <col min="8" max="8" width="3.6640625" style="2" customWidth="1"/>
    <col min="9" max="10" width="4.109375" style="2" customWidth="1"/>
    <col min="11" max="11" width="6.44140625" style="2" customWidth="1"/>
    <col min="12" max="12" width="8" style="2" customWidth="1"/>
    <col min="13" max="13" width="3.6640625" style="2" customWidth="1"/>
    <col min="14" max="14" width="13.109375" style="2" customWidth="1"/>
    <col min="15" max="15" width="62.44140625" style="2" customWidth="1"/>
    <col min="16" max="16" width="10.33203125" style="2" customWidth="1"/>
    <col min="17" max="16384" width="11.44140625" style="2"/>
  </cols>
  <sheetData>
    <row r="1" spans="1:16"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39" t="s">
        <v>136</v>
      </c>
      <c r="M1" s="1" t="s">
        <v>1179</v>
      </c>
      <c r="N1" s="1" t="s">
        <v>1168</v>
      </c>
      <c r="O1" s="1" t="s">
        <v>1162</v>
      </c>
      <c r="P1" s="1" t="s">
        <v>1163</v>
      </c>
    </row>
    <row r="2" spans="1:16" ht="20.399999999999999" x14ac:dyDescent="0.25">
      <c r="C2" s="4">
        <v>36929</v>
      </c>
      <c r="D2" s="17" t="s">
        <v>642</v>
      </c>
      <c r="E2" s="2" t="s">
        <v>1613</v>
      </c>
      <c r="F2" s="2" t="s">
        <v>1124</v>
      </c>
      <c r="O2" s="2" t="s">
        <v>1127</v>
      </c>
    </row>
    <row r="3" spans="1:16" ht="20.399999999999999" x14ac:dyDescent="0.2">
      <c r="A3" s="2">
        <v>1</v>
      </c>
      <c r="B3" s="2">
        <v>264</v>
      </c>
      <c r="C3" s="4">
        <v>36929</v>
      </c>
      <c r="D3" s="17" t="s">
        <v>642</v>
      </c>
      <c r="E3" s="2" t="s">
        <v>1613</v>
      </c>
      <c r="F3" s="2" t="s">
        <v>1124</v>
      </c>
      <c r="G3" s="2">
        <v>3</v>
      </c>
      <c r="H3" s="2">
        <v>-4</v>
      </c>
      <c r="J3" s="2">
        <v>165</v>
      </c>
      <c r="K3" s="2">
        <v>28</v>
      </c>
      <c r="L3" s="76">
        <f t="shared" ref="L3:L66" si="0">(L2+K3/60)</f>
        <v>0.46666666666666667</v>
      </c>
      <c r="N3" s="2" t="s">
        <v>1125</v>
      </c>
      <c r="O3" s="2" t="s">
        <v>1128</v>
      </c>
      <c r="P3" s="2" t="s">
        <v>1130</v>
      </c>
    </row>
    <row r="4" spans="1:16" ht="20.399999999999999" x14ac:dyDescent="0.2">
      <c r="A4" s="2">
        <v>1</v>
      </c>
      <c r="B4" s="2">
        <v>265</v>
      </c>
      <c r="C4" s="4">
        <v>36929</v>
      </c>
      <c r="D4" s="17" t="s">
        <v>642</v>
      </c>
      <c r="E4" s="2" t="s">
        <v>1613</v>
      </c>
      <c r="F4" s="2" t="s">
        <v>1124</v>
      </c>
      <c r="G4" s="2">
        <v>2.5</v>
      </c>
      <c r="H4" s="2">
        <v>-4</v>
      </c>
      <c r="J4" s="2">
        <v>155</v>
      </c>
      <c r="K4" s="2">
        <v>48</v>
      </c>
      <c r="L4" s="76">
        <f t="shared" si="0"/>
        <v>1.2666666666666666</v>
      </c>
      <c r="N4" s="2" t="s">
        <v>1126</v>
      </c>
      <c r="O4" s="2" t="s">
        <v>1129</v>
      </c>
      <c r="P4" s="2" t="s">
        <v>1130</v>
      </c>
    </row>
    <row r="5" spans="1:16" ht="20.399999999999999" x14ac:dyDescent="0.2">
      <c r="A5" s="2">
        <v>1</v>
      </c>
      <c r="B5" s="2">
        <v>266</v>
      </c>
      <c r="C5" s="4">
        <v>36929</v>
      </c>
      <c r="D5" s="17" t="s">
        <v>642</v>
      </c>
      <c r="E5" s="2" t="s">
        <v>1613</v>
      </c>
      <c r="F5" s="2" t="s">
        <v>1124</v>
      </c>
      <c r="G5" s="2">
        <v>2</v>
      </c>
      <c r="H5" s="2">
        <v>-3</v>
      </c>
      <c r="J5" s="2">
        <v>170</v>
      </c>
      <c r="K5" s="2">
        <v>28</v>
      </c>
      <c r="L5" s="76">
        <f t="shared" si="0"/>
        <v>1.7333333333333334</v>
      </c>
      <c r="N5" s="2" t="s">
        <v>1126</v>
      </c>
      <c r="O5" s="2" t="s">
        <v>1131</v>
      </c>
    </row>
    <row r="6" spans="1:16" ht="30.6" x14ac:dyDescent="0.2">
      <c r="A6" s="2">
        <v>1</v>
      </c>
      <c r="B6" s="2">
        <v>267</v>
      </c>
      <c r="C6" s="4">
        <v>36937</v>
      </c>
      <c r="D6" s="2" t="s">
        <v>642</v>
      </c>
      <c r="E6" s="2" t="s">
        <v>1650</v>
      </c>
      <c r="F6" s="2" t="s">
        <v>1132</v>
      </c>
      <c r="K6" s="2">
        <v>5</v>
      </c>
      <c r="L6" s="76">
        <f t="shared" si="0"/>
        <v>1.8166666666666667</v>
      </c>
      <c r="N6" s="2" t="s">
        <v>1133</v>
      </c>
    </row>
    <row r="7" spans="1:16" ht="20.399999999999999" x14ac:dyDescent="0.2">
      <c r="A7" s="2">
        <v>1</v>
      </c>
      <c r="B7" s="2">
        <v>268</v>
      </c>
      <c r="C7" s="4">
        <v>36938</v>
      </c>
      <c r="D7" s="2" t="s">
        <v>642</v>
      </c>
      <c r="E7" s="2" t="s">
        <v>1620</v>
      </c>
      <c r="F7" s="2" t="s">
        <v>1134</v>
      </c>
      <c r="G7" s="2">
        <v>2.5</v>
      </c>
      <c r="H7" s="2">
        <v>-4</v>
      </c>
      <c r="I7" s="2">
        <v>1700</v>
      </c>
      <c r="K7" s="2">
        <v>86</v>
      </c>
      <c r="L7" s="76">
        <f t="shared" si="0"/>
        <v>3.25</v>
      </c>
      <c r="N7" s="2" t="s">
        <v>1135</v>
      </c>
      <c r="O7" s="2" t="s">
        <v>1136</v>
      </c>
    </row>
    <row r="8" spans="1:16" ht="20.399999999999999" x14ac:dyDescent="0.2">
      <c r="A8" s="2">
        <v>1</v>
      </c>
      <c r="B8" s="2">
        <v>269</v>
      </c>
      <c r="C8" s="4">
        <v>36939</v>
      </c>
      <c r="D8" s="2" t="s">
        <v>642</v>
      </c>
      <c r="E8" s="2" t="s">
        <v>1620</v>
      </c>
      <c r="F8" s="2" t="s">
        <v>1134</v>
      </c>
      <c r="G8" s="2">
        <v>1</v>
      </c>
      <c r="H8" s="2">
        <v>-7</v>
      </c>
      <c r="I8" s="2">
        <v>1700</v>
      </c>
      <c r="K8" s="2">
        <v>22</v>
      </c>
      <c r="L8" s="76">
        <f t="shared" si="0"/>
        <v>3.6166666666666667</v>
      </c>
      <c r="N8" s="2" t="s">
        <v>1137</v>
      </c>
      <c r="O8" s="2" t="s">
        <v>1138</v>
      </c>
      <c r="P8" s="2" t="s">
        <v>1470</v>
      </c>
    </row>
    <row r="9" spans="1:16" ht="20.399999999999999" x14ac:dyDescent="0.2">
      <c r="A9" s="2">
        <v>1</v>
      </c>
      <c r="B9" s="2">
        <v>270</v>
      </c>
      <c r="C9" s="4">
        <v>36939</v>
      </c>
      <c r="D9" s="2" t="s">
        <v>642</v>
      </c>
      <c r="E9" s="2" t="s">
        <v>1620</v>
      </c>
      <c r="F9" s="2" t="s">
        <v>1134</v>
      </c>
      <c r="G9" s="2">
        <v>4</v>
      </c>
      <c r="H9" s="2">
        <v>-9.6999999999999993</v>
      </c>
      <c r="I9" s="2">
        <v>1670</v>
      </c>
      <c r="K9" s="2">
        <v>100</v>
      </c>
      <c r="L9" s="76">
        <f t="shared" si="0"/>
        <v>5.2833333333333332</v>
      </c>
      <c r="N9" s="2" t="s">
        <v>1139</v>
      </c>
      <c r="O9" s="2" t="s">
        <v>1149</v>
      </c>
      <c r="P9" s="2">
        <v>360</v>
      </c>
    </row>
    <row r="10" spans="1:16" ht="20.399999999999999" x14ac:dyDescent="0.2">
      <c r="A10" s="2">
        <v>1</v>
      </c>
      <c r="B10" s="2">
        <v>271</v>
      </c>
      <c r="C10" s="4">
        <v>36939</v>
      </c>
      <c r="D10" s="2" t="s">
        <v>642</v>
      </c>
      <c r="E10" s="2" t="s">
        <v>1620</v>
      </c>
      <c r="F10" s="2" t="s">
        <v>1134</v>
      </c>
      <c r="G10" s="2">
        <v>4</v>
      </c>
      <c r="H10" s="2">
        <v>-9.1999999999999993</v>
      </c>
      <c r="I10" s="2">
        <v>1690</v>
      </c>
      <c r="K10" s="2">
        <v>15</v>
      </c>
      <c r="L10" s="76">
        <f t="shared" si="0"/>
        <v>5.5333333333333332</v>
      </c>
      <c r="N10" s="2" t="s">
        <v>1150</v>
      </c>
      <c r="O10" s="2" t="s">
        <v>614</v>
      </c>
      <c r="P10" s="2" t="s">
        <v>1470</v>
      </c>
    </row>
    <row r="11" spans="1:16" ht="20.399999999999999" x14ac:dyDescent="0.2">
      <c r="A11" s="2">
        <v>1</v>
      </c>
      <c r="B11" s="2">
        <v>272</v>
      </c>
      <c r="C11" s="4">
        <v>36975</v>
      </c>
      <c r="D11" s="2" t="s">
        <v>642</v>
      </c>
      <c r="E11" s="2" t="s">
        <v>612</v>
      </c>
      <c r="F11" s="2" t="s">
        <v>1141</v>
      </c>
      <c r="G11" s="2">
        <v>0</v>
      </c>
      <c r="H11" s="2">
        <v>0</v>
      </c>
      <c r="J11" s="2">
        <v>0</v>
      </c>
      <c r="K11" s="2">
        <v>4</v>
      </c>
      <c r="L11" s="76">
        <f t="shared" si="0"/>
        <v>5.6</v>
      </c>
      <c r="N11" s="2" t="s">
        <v>845</v>
      </c>
    </row>
    <row r="12" spans="1:16" ht="20.399999999999999" x14ac:dyDescent="0.2">
      <c r="A12" s="2">
        <v>1</v>
      </c>
      <c r="B12" s="2">
        <v>273</v>
      </c>
      <c r="C12" s="4">
        <v>36975</v>
      </c>
      <c r="D12" s="2" t="s">
        <v>642</v>
      </c>
      <c r="E12" s="2" t="s">
        <v>612</v>
      </c>
      <c r="F12" s="2" t="s">
        <v>1142</v>
      </c>
      <c r="G12" s="2">
        <v>3</v>
      </c>
      <c r="H12" s="2">
        <v>-3</v>
      </c>
      <c r="J12" s="2">
        <v>100</v>
      </c>
      <c r="K12" s="2">
        <v>20</v>
      </c>
      <c r="L12" s="76">
        <f t="shared" si="0"/>
        <v>5.9333333333333327</v>
      </c>
      <c r="N12" s="2" t="s">
        <v>1146</v>
      </c>
    </row>
    <row r="13" spans="1:16" ht="20.399999999999999" x14ac:dyDescent="0.2">
      <c r="A13" s="2">
        <v>1</v>
      </c>
      <c r="B13" s="2">
        <v>274</v>
      </c>
      <c r="C13" s="4">
        <v>36975</v>
      </c>
      <c r="D13" s="2" t="s">
        <v>642</v>
      </c>
      <c r="E13" s="2" t="s">
        <v>612</v>
      </c>
      <c r="F13" s="2" t="s">
        <v>1143</v>
      </c>
      <c r="G13" s="2">
        <v>2.5</v>
      </c>
      <c r="H13" s="2">
        <v>-3</v>
      </c>
      <c r="J13" s="2">
        <v>250</v>
      </c>
      <c r="K13" s="2">
        <v>29</v>
      </c>
      <c r="L13" s="76">
        <f t="shared" si="0"/>
        <v>6.4166666666666661</v>
      </c>
      <c r="N13" s="2" t="s">
        <v>1126</v>
      </c>
    </row>
    <row r="14" spans="1:16" ht="20.399999999999999" x14ac:dyDescent="0.2">
      <c r="A14" s="2">
        <v>1</v>
      </c>
      <c r="B14" s="2">
        <v>275</v>
      </c>
      <c r="C14" s="4">
        <v>36975</v>
      </c>
      <c r="D14" s="2" t="s">
        <v>642</v>
      </c>
      <c r="E14" s="2" t="s">
        <v>612</v>
      </c>
      <c r="F14" s="2" t="s">
        <v>1143</v>
      </c>
      <c r="G14" s="2">
        <v>-4</v>
      </c>
      <c r="H14" s="2">
        <v>2</v>
      </c>
      <c r="J14" s="2">
        <v>100</v>
      </c>
      <c r="K14" s="2">
        <v>23</v>
      </c>
      <c r="L14" s="76">
        <f t="shared" si="0"/>
        <v>6.8</v>
      </c>
    </row>
    <row r="15" spans="1:16" ht="40.799999999999997" x14ac:dyDescent="0.2">
      <c r="A15" s="2">
        <v>1</v>
      </c>
      <c r="B15" s="2">
        <v>276</v>
      </c>
      <c r="C15" s="4">
        <v>36982</v>
      </c>
      <c r="D15" s="2" t="s">
        <v>642</v>
      </c>
      <c r="E15" s="2" t="s">
        <v>613</v>
      </c>
      <c r="F15" s="2" t="s">
        <v>1144</v>
      </c>
      <c r="G15" s="2">
        <v>5</v>
      </c>
      <c r="H15" s="2">
        <v>-4.5</v>
      </c>
      <c r="I15" s="2">
        <v>1900</v>
      </c>
      <c r="J15" s="2">
        <v>750</v>
      </c>
      <c r="K15" s="2">
        <v>38</v>
      </c>
      <c r="L15" s="76">
        <f t="shared" si="0"/>
        <v>7.4333333333333336</v>
      </c>
      <c r="M15" s="2">
        <v>9</v>
      </c>
      <c r="O15" s="2" t="s">
        <v>1147</v>
      </c>
    </row>
    <row r="16" spans="1:16" ht="51" x14ac:dyDescent="0.2">
      <c r="A16" s="2">
        <v>1</v>
      </c>
      <c r="B16" s="2">
        <v>277</v>
      </c>
      <c r="C16" s="4">
        <v>36984</v>
      </c>
      <c r="D16" s="2" t="s">
        <v>642</v>
      </c>
      <c r="E16" s="2" t="s">
        <v>1406</v>
      </c>
      <c r="F16" s="2" t="s">
        <v>1145</v>
      </c>
      <c r="G16" s="2">
        <v>4</v>
      </c>
      <c r="H16" s="2">
        <v>-8</v>
      </c>
      <c r="I16" s="2">
        <v>2000</v>
      </c>
      <c r="J16" s="2">
        <v>400</v>
      </c>
      <c r="K16" s="2">
        <v>40</v>
      </c>
      <c r="L16" s="76">
        <f t="shared" si="0"/>
        <v>8.1</v>
      </c>
      <c r="O16" s="2" t="s">
        <v>1148</v>
      </c>
    </row>
    <row r="17" spans="1:16" ht="40.799999999999997" x14ac:dyDescent="0.2">
      <c r="A17" s="2">
        <v>1</v>
      </c>
      <c r="B17" s="2">
        <v>278</v>
      </c>
      <c r="C17" s="4">
        <v>36995</v>
      </c>
      <c r="D17" s="2" t="s">
        <v>642</v>
      </c>
      <c r="E17" s="2" t="s">
        <v>1413</v>
      </c>
      <c r="F17" s="2" t="s">
        <v>1140</v>
      </c>
      <c r="G17" s="2">
        <v>3.5</v>
      </c>
      <c r="H17" s="2">
        <v>-4</v>
      </c>
      <c r="I17" s="2">
        <v>1791</v>
      </c>
      <c r="J17" s="2">
        <v>180</v>
      </c>
      <c r="K17" s="2">
        <v>24</v>
      </c>
      <c r="L17" s="76">
        <f t="shared" si="0"/>
        <v>8.5</v>
      </c>
      <c r="N17" s="2" t="s">
        <v>587</v>
      </c>
      <c r="O17" s="2" t="s">
        <v>588</v>
      </c>
    </row>
    <row r="18" spans="1:16" ht="40.799999999999997" x14ac:dyDescent="0.2">
      <c r="A18" s="2">
        <v>1</v>
      </c>
      <c r="B18" s="2">
        <v>279</v>
      </c>
      <c r="C18" s="4">
        <v>36995</v>
      </c>
      <c r="D18" s="2" t="s">
        <v>642</v>
      </c>
      <c r="E18" s="2" t="s">
        <v>1413</v>
      </c>
      <c r="F18" s="2" t="s">
        <v>1140</v>
      </c>
      <c r="G18" s="2">
        <v>3.5</v>
      </c>
      <c r="H18" s="2">
        <v>-5</v>
      </c>
      <c r="I18" s="2">
        <v>1823</v>
      </c>
      <c r="J18" s="2">
        <v>208</v>
      </c>
      <c r="K18" s="2">
        <v>28</v>
      </c>
      <c r="L18" s="76">
        <f t="shared" si="0"/>
        <v>8.9666666666666668</v>
      </c>
      <c r="N18" s="2" t="s">
        <v>589</v>
      </c>
      <c r="O18" s="2" t="s">
        <v>590</v>
      </c>
    </row>
    <row r="19" spans="1:16" ht="40.799999999999997" x14ac:dyDescent="0.2">
      <c r="A19" s="2">
        <v>1</v>
      </c>
      <c r="B19" s="2">
        <v>280</v>
      </c>
      <c r="C19" s="4">
        <v>36995</v>
      </c>
      <c r="D19" s="2" t="s">
        <v>642</v>
      </c>
      <c r="E19" s="2" t="s">
        <v>1550</v>
      </c>
      <c r="F19" s="2" t="s">
        <v>1140</v>
      </c>
      <c r="G19" s="2">
        <v>6.6</v>
      </c>
      <c r="H19" s="2">
        <v>-6.5</v>
      </c>
      <c r="I19" s="2">
        <v>2670</v>
      </c>
      <c r="J19" s="2">
        <v>1000</v>
      </c>
      <c r="K19" s="2">
        <v>39</v>
      </c>
      <c r="L19" s="76">
        <f t="shared" si="0"/>
        <v>9.6166666666666671</v>
      </c>
      <c r="N19" s="2" t="s">
        <v>591</v>
      </c>
      <c r="O19" s="2" t="s">
        <v>592</v>
      </c>
    </row>
    <row r="20" spans="1:16" ht="30.6" x14ac:dyDescent="0.2">
      <c r="A20" s="2">
        <v>1</v>
      </c>
      <c r="B20" s="2">
        <v>281</v>
      </c>
      <c r="C20" s="4">
        <v>36995</v>
      </c>
      <c r="D20" s="2" t="s">
        <v>642</v>
      </c>
      <c r="E20" s="2" t="s">
        <v>1550</v>
      </c>
      <c r="F20" s="2" t="s">
        <v>1140</v>
      </c>
      <c r="G20" s="2">
        <v>2</v>
      </c>
      <c r="H20" s="2">
        <v>-6</v>
      </c>
      <c r="K20" s="2">
        <v>12</v>
      </c>
      <c r="L20" s="76">
        <f t="shared" si="0"/>
        <v>9.8166666666666664</v>
      </c>
      <c r="N20" s="2" t="s">
        <v>593</v>
      </c>
      <c r="O20" s="2" t="s">
        <v>594</v>
      </c>
      <c r="P20" s="2" t="s">
        <v>595</v>
      </c>
    </row>
    <row r="21" spans="1:16" ht="30.6" x14ac:dyDescent="0.2">
      <c r="A21" s="2">
        <v>1</v>
      </c>
      <c r="B21" s="2">
        <v>282</v>
      </c>
      <c r="C21" s="4">
        <v>36995</v>
      </c>
      <c r="D21" s="2" t="s">
        <v>642</v>
      </c>
      <c r="E21" s="2" t="s">
        <v>1413</v>
      </c>
      <c r="F21" s="2" t="s">
        <v>1140</v>
      </c>
      <c r="G21" s="2">
        <v>2.5</v>
      </c>
      <c r="H21" s="2">
        <v>-6.5</v>
      </c>
      <c r="K21" s="2">
        <v>34</v>
      </c>
      <c r="L21" s="76">
        <f t="shared" si="0"/>
        <v>10.383333333333333</v>
      </c>
      <c r="N21" s="2" t="s">
        <v>598</v>
      </c>
      <c r="O21" s="2" t="s">
        <v>596</v>
      </c>
      <c r="P21" s="2" t="s">
        <v>597</v>
      </c>
    </row>
    <row r="22" spans="1:16" ht="102" x14ac:dyDescent="0.2">
      <c r="A22" s="2">
        <v>1</v>
      </c>
      <c r="B22" s="2">
        <v>283</v>
      </c>
      <c r="C22" s="4">
        <v>36996</v>
      </c>
      <c r="D22" s="2" t="s">
        <v>642</v>
      </c>
      <c r="E22" s="2" t="s">
        <v>1413</v>
      </c>
      <c r="F22" s="2" t="s">
        <v>599</v>
      </c>
      <c r="G22" s="2">
        <v>3.5</v>
      </c>
      <c r="H22" s="2">
        <v>-4</v>
      </c>
      <c r="I22" s="2">
        <v>1674</v>
      </c>
      <c r="J22" s="2">
        <v>0</v>
      </c>
      <c r="K22" s="2">
        <v>142</v>
      </c>
      <c r="L22" s="76">
        <f t="shared" si="0"/>
        <v>12.75</v>
      </c>
      <c r="M22" s="2">
        <v>12</v>
      </c>
      <c r="N22" s="2" t="s">
        <v>587</v>
      </c>
      <c r="O22" s="2" t="s">
        <v>600</v>
      </c>
      <c r="P22" s="2" t="s">
        <v>602</v>
      </c>
    </row>
    <row r="23" spans="1:16" ht="61.2" x14ac:dyDescent="0.2">
      <c r="A23" s="2">
        <v>1</v>
      </c>
      <c r="B23" s="2">
        <v>284</v>
      </c>
      <c r="C23" s="4">
        <v>37009</v>
      </c>
      <c r="D23" s="2" t="s">
        <v>642</v>
      </c>
      <c r="E23" s="2" t="s">
        <v>1550</v>
      </c>
      <c r="F23" s="2" t="s">
        <v>599</v>
      </c>
      <c r="G23" s="2">
        <v>2.5</v>
      </c>
      <c r="H23" s="2">
        <v>-9</v>
      </c>
      <c r="I23" s="2">
        <v>2260</v>
      </c>
      <c r="J23" s="2">
        <v>400</v>
      </c>
      <c r="K23" s="2">
        <v>50</v>
      </c>
      <c r="L23" s="76">
        <f t="shared" si="0"/>
        <v>13.583333333333334</v>
      </c>
      <c r="N23" s="2">
        <v>700</v>
      </c>
      <c r="O23" s="2" t="s">
        <v>1369</v>
      </c>
      <c r="P23" s="2" t="s">
        <v>1368</v>
      </c>
    </row>
    <row r="24" spans="1:16" ht="30.6" x14ac:dyDescent="0.2">
      <c r="A24" s="2">
        <v>1</v>
      </c>
      <c r="B24" s="2">
        <v>285</v>
      </c>
      <c r="C24" s="4">
        <v>37009</v>
      </c>
      <c r="D24" s="2" t="s">
        <v>1445</v>
      </c>
      <c r="E24" s="2" t="s">
        <v>1550</v>
      </c>
      <c r="K24" s="2">
        <v>10</v>
      </c>
      <c r="L24" s="76">
        <f t="shared" si="0"/>
        <v>13.75</v>
      </c>
      <c r="O24" s="2" t="s">
        <v>788</v>
      </c>
    </row>
    <row r="25" spans="1:16" ht="20.399999999999999" x14ac:dyDescent="0.2">
      <c r="A25" s="2">
        <v>1</v>
      </c>
      <c r="B25" s="2">
        <v>286</v>
      </c>
      <c r="C25" s="4">
        <v>37012</v>
      </c>
      <c r="D25" s="2" t="s">
        <v>642</v>
      </c>
      <c r="E25" s="2" t="s">
        <v>1650</v>
      </c>
      <c r="G25" s="2">
        <v>2</v>
      </c>
      <c r="H25" s="2">
        <v>-3</v>
      </c>
      <c r="K25" s="2">
        <v>30</v>
      </c>
      <c r="L25" s="76">
        <f t="shared" si="0"/>
        <v>14.25</v>
      </c>
    </row>
    <row r="26" spans="1:16" ht="20.399999999999999" x14ac:dyDescent="0.2">
      <c r="A26" s="2">
        <v>1</v>
      </c>
      <c r="B26" s="2">
        <v>287</v>
      </c>
      <c r="C26" s="4">
        <v>37012</v>
      </c>
      <c r="D26" s="2" t="s">
        <v>642</v>
      </c>
      <c r="E26" s="2" t="s">
        <v>1650</v>
      </c>
      <c r="G26" s="2">
        <v>2</v>
      </c>
      <c r="H26" s="2">
        <v>-4</v>
      </c>
      <c r="K26" s="2">
        <v>18</v>
      </c>
      <c r="L26" s="76">
        <f t="shared" si="0"/>
        <v>14.55</v>
      </c>
    </row>
    <row r="27" spans="1:16" ht="20.399999999999999" x14ac:dyDescent="0.2">
      <c r="A27" s="2">
        <v>1</v>
      </c>
      <c r="B27" s="2">
        <v>288</v>
      </c>
      <c r="C27" s="4">
        <v>37012</v>
      </c>
      <c r="D27" s="2" t="s">
        <v>642</v>
      </c>
      <c r="E27" s="2" t="s">
        <v>1650</v>
      </c>
      <c r="G27" s="2">
        <v>3</v>
      </c>
      <c r="H27" s="2">
        <v>-6.5</v>
      </c>
      <c r="K27" s="2">
        <v>17</v>
      </c>
      <c r="L27" s="76">
        <f t="shared" si="0"/>
        <v>14.833333333333334</v>
      </c>
    </row>
    <row r="28" spans="1:16" ht="30.6" x14ac:dyDescent="0.2">
      <c r="A28" s="2">
        <v>1</v>
      </c>
      <c r="B28" s="2">
        <v>289</v>
      </c>
      <c r="C28" s="4">
        <v>37023</v>
      </c>
      <c r="D28" s="2" t="s">
        <v>1444</v>
      </c>
      <c r="E28" s="2" t="s">
        <v>789</v>
      </c>
      <c r="F28" s="2" t="s">
        <v>792</v>
      </c>
      <c r="K28" s="2">
        <v>10</v>
      </c>
      <c r="L28" s="76">
        <f t="shared" si="0"/>
        <v>15</v>
      </c>
      <c r="O28" s="2" t="s">
        <v>790</v>
      </c>
    </row>
    <row r="29" spans="1:16" ht="51" x14ac:dyDescent="0.2">
      <c r="A29" s="2">
        <v>1</v>
      </c>
      <c r="B29" s="2">
        <v>290</v>
      </c>
      <c r="C29" s="4">
        <v>37023</v>
      </c>
      <c r="D29" s="2" t="s">
        <v>642</v>
      </c>
      <c r="E29" s="2" t="s">
        <v>789</v>
      </c>
      <c r="F29" s="2" t="s">
        <v>793</v>
      </c>
      <c r="G29" s="2">
        <v>4</v>
      </c>
      <c r="H29" s="2">
        <v>-4</v>
      </c>
      <c r="I29" s="2">
        <v>1200</v>
      </c>
      <c r="J29" s="2">
        <v>1900</v>
      </c>
      <c r="K29" s="2">
        <v>81</v>
      </c>
      <c r="L29" s="76">
        <f t="shared" si="0"/>
        <v>16.350000000000001</v>
      </c>
      <c r="O29" s="2" t="s">
        <v>794</v>
      </c>
    </row>
    <row r="30" spans="1:16" ht="30.6" x14ac:dyDescent="0.2">
      <c r="A30" s="2">
        <v>1</v>
      </c>
      <c r="B30" s="2">
        <v>291</v>
      </c>
      <c r="C30" s="4">
        <v>37023</v>
      </c>
      <c r="D30" s="2" t="s">
        <v>642</v>
      </c>
      <c r="E30" s="2" t="s">
        <v>789</v>
      </c>
      <c r="F30" s="2" t="s">
        <v>793</v>
      </c>
      <c r="G30" s="2">
        <v>3</v>
      </c>
      <c r="H30" s="2">
        <v>-4.5</v>
      </c>
      <c r="I30" s="2">
        <v>1200</v>
      </c>
      <c r="J30" s="2">
        <v>1400</v>
      </c>
      <c r="K30" s="2">
        <v>41</v>
      </c>
      <c r="L30" s="76">
        <f t="shared" si="0"/>
        <v>17.033333333333335</v>
      </c>
      <c r="O30" s="2" t="s">
        <v>791</v>
      </c>
    </row>
    <row r="31" spans="1:16" ht="30.6" x14ac:dyDescent="0.2">
      <c r="A31" s="2">
        <v>1</v>
      </c>
      <c r="B31" s="2">
        <v>292</v>
      </c>
      <c r="C31" s="4">
        <v>37035</v>
      </c>
      <c r="D31" s="2" t="s">
        <v>642</v>
      </c>
      <c r="E31" s="2" t="s">
        <v>999</v>
      </c>
      <c r="F31" s="2" t="s">
        <v>1000</v>
      </c>
      <c r="G31" s="2">
        <v>2.5</v>
      </c>
      <c r="H31" s="2">
        <v>-4</v>
      </c>
      <c r="I31" s="2">
        <v>1419</v>
      </c>
      <c r="K31" s="2">
        <v>46</v>
      </c>
      <c r="L31" s="76">
        <f t="shared" si="0"/>
        <v>17.8</v>
      </c>
      <c r="M31" s="2">
        <v>7</v>
      </c>
      <c r="N31" s="2" t="s">
        <v>1001</v>
      </c>
      <c r="O31" s="2" t="s">
        <v>1002</v>
      </c>
      <c r="P31" s="2" t="s">
        <v>1003</v>
      </c>
    </row>
    <row r="32" spans="1:16" ht="30.6" x14ac:dyDescent="0.2">
      <c r="A32" s="2">
        <v>1</v>
      </c>
      <c r="B32" s="2">
        <v>293</v>
      </c>
      <c r="C32" s="4">
        <v>37036</v>
      </c>
      <c r="D32" s="2" t="s">
        <v>1444</v>
      </c>
      <c r="E32" s="2" t="s">
        <v>1006</v>
      </c>
      <c r="F32" s="2" t="s">
        <v>1000</v>
      </c>
      <c r="K32" s="2">
        <v>20</v>
      </c>
      <c r="L32" s="76">
        <f t="shared" si="0"/>
        <v>18.133333333333333</v>
      </c>
      <c r="N32" s="2" t="s">
        <v>1004</v>
      </c>
      <c r="O32" s="2" t="s">
        <v>1005</v>
      </c>
    </row>
    <row r="33" spans="1:16" ht="20.399999999999999" x14ac:dyDescent="0.2">
      <c r="A33" s="2">
        <v>1</v>
      </c>
      <c r="B33" s="2">
        <v>294</v>
      </c>
      <c r="C33" s="4">
        <v>37036</v>
      </c>
      <c r="D33" s="2" t="s">
        <v>642</v>
      </c>
      <c r="E33" s="2" t="s">
        <v>1007</v>
      </c>
      <c r="F33" s="2" t="s">
        <v>1008</v>
      </c>
      <c r="G33" s="2">
        <v>2.5</v>
      </c>
      <c r="H33" s="2">
        <v>-8.1</v>
      </c>
      <c r="I33" s="2">
        <v>1273</v>
      </c>
      <c r="K33" s="2">
        <v>30</v>
      </c>
      <c r="L33" s="76">
        <f t="shared" si="0"/>
        <v>18.633333333333333</v>
      </c>
      <c r="P33" s="2" t="s">
        <v>597</v>
      </c>
    </row>
    <row r="34" spans="1:16" ht="20.399999999999999" x14ac:dyDescent="0.2">
      <c r="A34" s="2">
        <v>1</v>
      </c>
      <c r="B34" s="2">
        <v>295</v>
      </c>
      <c r="C34" s="4">
        <v>37068</v>
      </c>
      <c r="D34" s="2" t="s">
        <v>642</v>
      </c>
      <c r="E34" s="2" t="s">
        <v>1007</v>
      </c>
      <c r="K34" s="2">
        <v>10</v>
      </c>
      <c r="L34" s="76">
        <f t="shared" si="0"/>
        <v>18.8</v>
      </c>
      <c r="N34" s="2" t="s">
        <v>1009</v>
      </c>
      <c r="O34" s="2" t="s">
        <v>1016</v>
      </c>
    </row>
    <row r="35" spans="1:16" ht="20.399999999999999" x14ac:dyDescent="0.2">
      <c r="A35" s="2">
        <v>1</v>
      </c>
      <c r="B35" s="2">
        <v>296</v>
      </c>
      <c r="C35" s="4">
        <v>37068</v>
      </c>
      <c r="D35" s="2" t="s">
        <v>642</v>
      </c>
      <c r="E35" s="2" t="s">
        <v>1007</v>
      </c>
      <c r="K35" s="2">
        <v>10</v>
      </c>
      <c r="L35" s="76">
        <f t="shared" si="0"/>
        <v>18.966666666666669</v>
      </c>
      <c r="N35" s="2" t="s">
        <v>1010</v>
      </c>
      <c r="O35" s="2" t="s">
        <v>1702</v>
      </c>
    </row>
    <row r="36" spans="1:16" ht="20.399999999999999" x14ac:dyDescent="0.2">
      <c r="A36" s="2">
        <v>1</v>
      </c>
      <c r="B36" s="2">
        <v>297</v>
      </c>
      <c r="C36" s="4">
        <v>37068</v>
      </c>
      <c r="D36" s="2" t="s">
        <v>642</v>
      </c>
      <c r="E36" s="2" t="s">
        <v>1007</v>
      </c>
      <c r="K36" s="2">
        <v>10</v>
      </c>
      <c r="L36" s="76">
        <f t="shared" si="0"/>
        <v>19.133333333333336</v>
      </c>
      <c r="N36" s="2" t="s">
        <v>1011</v>
      </c>
      <c r="O36" s="2" t="s">
        <v>1703</v>
      </c>
    </row>
    <row r="37" spans="1:16" ht="30.6" x14ac:dyDescent="0.2">
      <c r="A37" s="2">
        <v>1</v>
      </c>
      <c r="B37" s="2">
        <v>298</v>
      </c>
      <c r="C37" s="4">
        <v>37068</v>
      </c>
      <c r="D37" s="2" t="s">
        <v>642</v>
      </c>
      <c r="E37" s="2" t="s">
        <v>1007</v>
      </c>
      <c r="F37" s="2" t="s">
        <v>1704</v>
      </c>
      <c r="G37" s="2">
        <v>4.5</v>
      </c>
      <c r="H37" s="2">
        <v>-6</v>
      </c>
      <c r="I37" s="2">
        <v>2320</v>
      </c>
      <c r="J37" s="2">
        <v>1000</v>
      </c>
      <c r="K37" s="2">
        <v>83</v>
      </c>
      <c r="L37" s="76">
        <f t="shared" si="0"/>
        <v>20.516666666666669</v>
      </c>
      <c r="M37" s="2">
        <v>14</v>
      </c>
      <c r="O37" s="2" t="s">
        <v>1030</v>
      </c>
    </row>
    <row r="38" spans="1:16" ht="20.399999999999999" x14ac:dyDescent="0.2">
      <c r="A38" s="2">
        <v>1</v>
      </c>
      <c r="B38" s="2">
        <v>299</v>
      </c>
      <c r="C38" s="4">
        <v>37038</v>
      </c>
      <c r="D38" s="2" t="s">
        <v>642</v>
      </c>
      <c r="E38" s="2" t="s">
        <v>1007</v>
      </c>
      <c r="K38" s="2">
        <v>10</v>
      </c>
      <c r="L38" s="76">
        <f t="shared" si="0"/>
        <v>20.683333333333337</v>
      </c>
      <c r="N38" s="2" t="s">
        <v>1012</v>
      </c>
      <c r="O38" s="2" t="s">
        <v>1031</v>
      </c>
    </row>
    <row r="39" spans="1:16" ht="20.399999999999999" x14ac:dyDescent="0.2">
      <c r="A39" s="2">
        <v>1</v>
      </c>
      <c r="B39" s="2">
        <v>300</v>
      </c>
      <c r="C39" s="4">
        <v>37038</v>
      </c>
      <c r="D39" s="2" t="s">
        <v>642</v>
      </c>
      <c r="E39" s="2" t="s">
        <v>1007</v>
      </c>
      <c r="K39" s="2">
        <v>10</v>
      </c>
      <c r="L39" s="76">
        <f t="shared" si="0"/>
        <v>20.850000000000005</v>
      </c>
      <c r="N39" s="2" t="s">
        <v>1013</v>
      </c>
      <c r="O39" s="2" t="s">
        <v>1032</v>
      </c>
    </row>
    <row r="40" spans="1:16" ht="20.399999999999999" x14ac:dyDescent="0.2">
      <c r="A40" s="2">
        <v>1</v>
      </c>
      <c r="B40" s="2">
        <v>301</v>
      </c>
      <c r="C40" s="4">
        <v>37038</v>
      </c>
      <c r="D40" s="2" t="s">
        <v>642</v>
      </c>
      <c r="E40" s="2" t="s">
        <v>1007</v>
      </c>
      <c r="K40" s="2">
        <v>10</v>
      </c>
      <c r="L40" s="76">
        <f t="shared" si="0"/>
        <v>21.016666666666673</v>
      </c>
      <c r="N40" s="2" t="s">
        <v>1014</v>
      </c>
      <c r="O40" s="2" t="s">
        <v>1034</v>
      </c>
    </row>
    <row r="41" spans="1:16" ht="20.399999999999999" x14ac:dyDescent="0.2">
      <c r="A41" s="2">
        <v>1</v>
      </c>
      <c r="B41" s="2">
        <v>302</v>
      </c>
      <c r="C41" s="4">
        <v>37038</v>
      </c>
      <c r="D41" s="2" t="s">
        <v>642</v>
      </c>
      <c r="E41" s="2" t="s">
        <v>1007</v>
      </c>
      <c r="K41" s="2">
        <v>10</v>
      </c>
      <c r="L41" s="76">
        <f t="shared" si="0"/>
        <v>21.183333333333341</v>
      </c>
      <c r="N41" s="2" t="s">
        <v>1015</v>
      </c>
      <c r="O41" s="2" t="s">
        <v>1033</v>
      </c>
    </row>
    <row r="42" spans="1:16" ht="20.399999999999999" x14ac:dyDescent="0.2">
      <c r="A42" s="2">
        <v>1</v>
      </c>
      <c r="B42" s="2">
        <v>303</v>
      </c>
      <c r="C42" s="4">
        <v>37039</v>
      </c>
      <c r="D42" s="2" t="s">
        <v>642</v>
      </c>
      <c r="E42" s="2" t="s">
        <v>1038</v>
      </c>
      <c r="F42" s="2" t="s">
        <v>1035</v>
      </c>
      <c r="G42" s="2">
        <v>2</v>
      </c>
      <c r="H42" s="2">
        <v>-4</v>
      </c>
      <c r="I42" s="2">
        <v>1800</v>
      </c>
      <c r="K42" s="2">
        <v>18</v>
      </c>
      <c r="L42" s="76">
        <f t="shared" si="0"/>
        <v>21.483333333333341</v>
      </c>
      <c r="N42" s="2" t="s">
        <v>1037</v>
      </c>
      <c r="O42" s="2" t="s">
        <v>1036</v>
      </c>
    </row>
    <row r="43" spans="1:16" ht="71.400000000000006" x14ac:dyDescent="0.2">
      <c r="A43" s="2">
        <v>1</v>
      </c>
      <c r="B43" s="2">
        <v>304</v>
      </c>
      <c r="C43" s="4">
        <v>37039</v>
      </c>
      <c r="D43" s="2" t="s">
        <v>642</v>
      </c>
      <c r="E43" s="2" t="s">
        <v>1038</v>
      </c>
      <c r="F43" s="2" t="s">
        <v>1035</v>
      </c>
      <c r="G43" s="2">
        <v>5</v>
      </c>
      <c r="H43" s="2">
        <v>-8.8000000000000007</v>
      </c>
      <c r="I43" s="2">
        <v>2900</v>
      </c>
      <c r="J43" s="2">
        <v>1300</v>
      </c>
      <c r="K43" s="2">
        <v>246</v>
      </c>
      <c r="L43" s="76">
        <f t="shared" si="0"/>
        <v>25.583333333333343</v>
      </c>
      <c r="M43" s="2">
        <v>40</v>
      </c>
      <c r="N43" s="2" t="s">
        <v>1037</v>
      </c>
      <c r="O43" s="2" t="s">
        <v>1673</v>
      </c>
      <c r="P43" s="2" t="s">
        <v>1674</v>
      </c>
    </row>
    <row r="44" spans="1:16" ht="20.399999999999999" x14ac:dyDescent="0.2">
      <c r="A44" s="2">
        <v>1</v>
      </c>
      <c r="B44" s="2">
        <v>305</v>
      </c>
      <c r="C44" s="4">
        <v>37040</v>
      </c>
      <c r="D44" s="2" t="s">
        <v>642</v>
      </c>
      <c r="E44" s="2" t="s">
        <v>1038</v>
      </c>
      <c r="F44" s="2" t="s">
        <v>1035</v>
      </c>
      <c r="G44" s="2">
        <v>3.5</v>
      </c>
      <c r="H44" s="2">
        <v>-7.5</v>
      </c>
      <c r="I44" s="2">
        <v>1576</v>
      </c>
      <c r="K44" s="2">
        <v>56</v>
      </c>
      <c r="L44" s="76">
        <f t="shared" si="0"/>
        <v>26.516666666666676</v>
      </c>
      <c r="N44" s="2" t="s">
        <v>1675</v>
      </c>
      <c r="O44" s="2" t="s">
        <v>1676</v>
      </c>
      <c r="P44" s="2" t="s">
        <v>1153</v>
      </c>
    </row>
    <row r="45" spans="1:16" ht="40.799999999999997" x14ac:dyDescent="0.2">
      <c r="A45" s="2">
        <v>1</v>
      </c>
      <c r="B45" s="2">
        <v>306</v>
      </c>
      <c r="C45" s="4">
        <v>37040</v>
      </c>
      <c r="D45" s="2" t="s">
        <v>642</v>
      </c>
      <c r="E45" s="2" t="s">
        <v>629</v>
      </c>
      <c r="F45" s="2" t="s">
        <v>1035</v>
      </c>
      <c r="G45" s="2">
        <v>4</v>
      </c>
      <c r="H45" s="2">
        <v>-4</v>
      </c>
      <c r="I45" s="2">
        <v>2237</v>
      </c>
      <c r="J45" s="2">
        <v>900</v>
      </c>
      <c r="K45" s="2">
        <v>184</v>
      </c>
      <c r="L45" s="76">
        <f t="shared" si="0"/>
        <v>29.583333333333343</v>
      </c>
      <c r="M45" s="2">
        <v>28</v>
      </c>
      <c r="N45" s="2" t="s">
        <v>1677</v>
      </c>
      <c r="O45" s="2" t="s">
        <v>1678</v>
      </c>
    </row>
    <row r="46" spans="1:16" ht="30.6" x14ac:dyDescent="0.2">
      <c r="A46" s="2">
        <v>1</v>
      </c>
      <c r="B46" s="2">
        <v>307</v>
      </c>
      <c r="C46" s="4">
        <v>37041</v>
      </c>
      <c r="D46" s="2" t="s">
        <v>642</v>
      </c>
      <c r="E46" s="2" t="s">
        <v>1679</v>
      </c>
      <c r="F46" s="2" t="s">
        <v>1035</v>
      </c>
      <c r="G46" s="2">
        <v>4.5</v>
      </c>
      <c r="H46" s="2">
        <v>-9.1999999999999993</v>
      </c>
      <c r="I46" s="2">
        <v>2041</v>
      </c>
      <c r="J46" s="2">
        <v>400</v>
      </c>
      <c r="K46" s="2">
        <v>194</v>
      </c>
      <c r="L46" s="76">
        <f t="shared" si="0"/>
        <v>32.816666666666677</v>
      </c>
      <c r="M46" s="2">
        <v>35</v>
      </c>
      <c r="N46" s="2" t="s">
        <v>1680</v>
      </c>
      <c r="O46" s="2" t="s">
        <v>1682</v>
      </c>
      <c r="P46" s="2" t="s">
        <v>1674</v>
      </c>
    </row>
    <row r="47" spans="1:16" ht="61.2" x14ac:dyDescent="0.2">
      <c r="A47" s="2">
        <v>1</v>
      </c>
      <c r="B47" s="2">
        <v>308</v>
      </c>
      <c r="C47" s="4">
        <v>37041</v>
      </c>
      <c r="D47" s="2" t="s">
        <v>642</v>
      </c>
      <c r="E47" s="2" t="s">
        <v>1681</v>
      </c>
      <c r="F47" s="2" t="s">
        <v>1035</v>
      </c>
      <c r="G47" s="2">
        <v>5</v>
      </c>
      <c r="H47" s="2">
        <v>-6</v>
      </c>
      <c r="I47" s="2">
        <v>2575</v>
      </c>
      <c r="K47" s="2">
        <v>107</v>
      </c>
      <c r="L47" s="76">
        <f t="shared" si="0"/>
        <v>34.600000000000009</v>
      </c>
      <c r="M47" s="2">
        <v>22</v>
      </c>
      <c r="N47" s="2" t="s">
        <v>1683</v>
      </c>
      <c r="O47" s="2" t="s">
        <v>1684</v>
      </c>
    </row>
    <row r="48" spans="1:16" ht="20.399999999999999" x14ac:dyDescent="0.2">
      <c r="A48" s="2">
        <v>1</v>
      </c>
      <c r="B48" s="2">
        <v>309</v>
      </c>
      <c r="C48" s="4">
        <v>37042</v>
      </c>
      <c r="D48" s="2" t="s">
        <v>642</v>
      </c>
      <c r="E48" s="2" t="s">
        <v>635</v>
      </c>
      <c r="F48" s="2" t="s">
        <v>1000</v>
      </c>
      <c r="G48" s="2">
        <v>2</v>
      </c>
      <c r="H48" s="2">
        <v>-4.5</v>
      </c>
      <c r="I48" s="2">
        <v>1543</v>
      </c>
      <c r="K48" s="2">
        <v>27</v>
      </c>
      <c r="L48" s="76">
        <f t="shared" si="0"/>
        <v>35.050000000000011</v>
      </c>
      <c r="N48" s="2" t="s">
        <v>1685</v>
      </c>
      <c r="O48" s="2" t="s">
        <v>1686</v>
      </c>
    </row>
    <row r="49" spans="1:15" ht="20.399999999999999" x14ac:dyDescent="0.2">
      <c r="A49" s="2">
        <v>1</v>
      </c>
      <c r="B49" s="2">
        <v>310</v>
      </c>
      <c r="C49" s="4">
        <v>37066</v>
      </c>
      <c r="D49" s="2" t="s">
        <v>642</v>
      </c>
      <c r="E49" s="2" t="s">
        <v>1550</v>
      </c>
      <c r="F49" s="2" t="s">
        <v>1064</v>
      </c>
      <c r="G49" s="2">
        <v>1</v>
      </c>
      <c r="H49" s="2">
        <v>-5</v>
      </c>
      <c r="I49" s="2">
        <v>1640</v>
      </c>
      <c r="K49" s="2">
        <v>8</v>
      </c>
      <c r="L49" s="76">
        <f t="shared" si="0"/>
        <v>35.183333333333344</v>
      </c>
    </row>
    <row r="50" spans="1:15" ht="20.399999999999999" x14ac:dyDescent="0.2">
      <c r="A50" s="2">
        <v>1</v>
      </c>
      <c r="B50" s="2">
        <v>311</v>
      </c>
      <c r="C50" s="4">
        <v>37066</v>
      </c>
      <c r="D50" s="2" t="s">
        <v>642</v>
      </c>
      <c r="E50" s="2" t="s">
        <v>1550</v>
      </c>
      <c r="F50" s="2" t="s">
        <v>1064</v>
      </c>
      <c r="G50" s="2">
        <v>1</v>
      </c>
      <c r="H50" s="2">
        <v>-4</v>
      </c>
      <c r="I50" s="2">
        <v>1307</v>
      </c>
      <c r="K50" s="2">
        <v>7</v>
      </c>
      <c r="L50" s="76">
        <f t="shared" si="0"/>
        <v>35.300000000000011</v>
      </c>
    </row>
    <row r="51" spans="1:15" ht="20.399999999999999" x14ac:dyDescent="0.2">
      <c r="A51" s="2">
        <v>1</v>
      </c>
      <c r="B51" s="2">
        <v>312</v>
      </c>
      <c r="C51" s="4">
        <v>37066</v>
      </c>
      <c r="D51" s="2" t="s">
        <v>642</v>
      </c>
      <c r="E51" s="2" t="s">
        <v>1550</v>
      </c>
      <c r="F51" s="2" t="s">
        <v>1064</v>
      </c>
      <c r="G51" s="2">
        <v>0</v>
      </c>
      <c r="H51" s="2">
        <v>-4</v>
      </c>
      <c r="I51" s="2">
        <v>1405</v>
      </c>
      <c r="K51" s="2">
        <v>6</v>
      </c>
      <c r="L51" s="76">
        <f t="shared" si="0"/>
        <v>35.400000000000013</v>
      </c>
    </row>
    <row r="52" spans="1:15" ht="20.399999999999999" x14ac:dyDescent="0.2">
      <c r="A52" s="2">
        <v>1</v>
      </c>
      <c r="B52" s="2">
        <v>313</v>
      </c>
      <c r="C52" s="4">
        <v>37076</v>
      </c>
      <c r="D52" s="2" t="s">
        <v>642</v>
      </c>
      <c r="E52" s="2" t="s">
        <v>1406</v>
      </c>
      <c r="G52" s="2">
        <v>2.5</v>
      </c>
      <c r="H52" s="2">
        <v>-5</v>
      </c>
      <c r="I52" s="2">
        <v>1550</v>
      </c>
      <c r="J52" s="2">
        <v>0</v>
      </c>
      <c r="K52" s="2">
        <v>14</v>
      </c>
      <c r="L52" s="76">
        <f t="shared" si="0"/>
        <v>35.633333333333347</v>
      </c>
    </row>
    <row r="53" spans="1:15" ht="20.399999999999999" x14ac:dyDescent="0.2">
      <c r="A53" s="2">
        <v>1</v>
      </c>
      <c r="B53" s="2">
        <v>314</v>
      </c>
      <c r="C53" s="4" t="s">
        <v>1065</v>
      </c>
      <c r="D53" s="2" t="s">
        <v>642</v>
      </c>
      <c r="E53" s="2" t="s">
        <v>1406</v>
      </c>
      <c r="F53" s="2" t="s">
        <v>1066</v>
      </c>
      <c r="G53" s="2">
        <v>2.5</v>
      </c>
      <c r="H53" s="2">
        <v>-8.6</v>
      </c>
      <c r="I53" s="2">
        <v>1705</v>
      </c>
      <c r="J53" s="2">
        <v>150</v>
      </c>
      <c r="K53" s="2">
        <v>86</v>
      </c>
      <c r="L53" s="76">
        <f t="shared" si="0"/>
        <v>37.066666666666677</v>
      </c>
    </row>
    <row r="54" spans="1:15" ht="20.399999999999999" x14ac:dyDescent="0.2">
      <c r="A54" s="2">
        <v>1</v>
      </c>
      <c r="B54" s="2">
        <v>315</v>
      </c>
      <c r="C54" s="4">
        <v>37095</v>
      </c>
      <c r="D54" s="2" t="s">
        <v>642</v>
      </c>
      <c r="E54" s="2" t="s">
        <v>1406</v>
      </c>
      <c r="F54" s="2" t="s">
        <v>1066</v>
      </c>
      <c r="G54" s="2">
        <v>1</v>
      </c>
      <c r="H54" s="2">
        <v>-4</v>
      </c>
      <c r="I54" s="2">
        <v>1536</v>
      </c>
      <c r="K54" s="2">
        <v>12</v>
      </c>
      <c r="L54" s="76">
        <f t="shared" si="0"/>
        <v>37.26666666666668</v>
      </c>
    </row>
    <row r="55" spans="1:15" ht="20.399999999999999" x14ac:dyDescent="0.2">
      <c r="A55" s="2">
        <v>1</v>
      </c>
      <c r="B55" s="2">
        <v>316</v>
      </c>
      <c r="C55" s="4">
        <v>37095</v>
      </c>
      <c r="D55" s="2" t="s">
        <v>642</v>
      </c>
      <c r="E55" s="2" t="s">
        <v>1406</v>
      </c>
      <c r="F55" s="2" t="s">
        <v>1066</v>
      </c>
      <c r="G55" s="2">
        <v>4</v>
      </c>
      <c r="H55" s="2">
        <v>-6</v>
      </c>
      <c r="I55" s="2">
        <v>1867</v>
      </c>
      <c r="J55" s="2">
        <v>327</v>
      </c>
      <c r="K55" s="2">
        <v>48</v>
      </c>
      <c r="L55" s="76">
        <f t="shared" si="0"/>
        <v>38.066666666666677</v>
      </c>
    </row>
    <row r="56" spans="1:15" ht="20.399999999999999" x14ac:dyDescent="0.2">
      <c r="A56" s="2">
        <v>1</v>
      </c>
      <c r="B56" s="2">
        <v>317</v>
      </c>
      <c r="C56" s="4">
        <v>37095</v>
      </c>
      <c r="D56" s="2" t="s">
        <v>642</v>
      </c>
      <c r="E56" s="2" t="s">
        <v>1406</v>
      </c>
      <c r="F56" s="2" t="s">
        <v>1066</v>
      </c>
      <c r="G56" s="2">
        <v>3</v>
      </c>
      <c r="H56" s="2">
        <v>-4</v>
      </c>
      <c r="I56" s="2">
        <v>1667</v>
      </c>
      <c r="J56" s="2">
        <v>127</v>
      </c>
      <c r="K56" s="2">
        <v>31</v>
      </c>
      <c r="L56" s="76">
        <f t="shared" si="0"/>
        <v>38.583333333333343</v>
      </c>
    </row>
    <row r="57" spans="1:15" ht="20.399999999999999" x14ac:dyDescent="0.2">
      <c r="A57" s="2">
        <v>1</v>
      </c>
      <c r="B57" s="2">
        <v>318</v>
      </c>
      <c r="C57" s="4">
        <v>37096</v>
      </c>
      <c r="D57" s="2" t="s">
        <v>642</v>
      </c>
      <c r="E57" s="2" t="s">
        <v>1406</v>
      </c>
      <c r="F57" s="2" t="s">
        <v>1066</v>
      </c>
      <c r="G57" s="2">
        <v>0</v>
      </c>
      <c r="H57" s="2">
        <v>-4</v>
      </c>
      <c r="I57" s="2">
        <v>1562</v>
      </c>
      <c r="K57" s="2">
        <v>10</v>
      </c>
      <c r="L57" s="76">
        <f t="shared" si="0"/>
        <v>38.750000000000007</v>
      </c>
    </row>
    <row r="58" spans="1:15" ht="20.399999999999999" x14ac:dyDescent="0.2">
      <c r="A58" s="2">
        <v>1</v>
      </c>
      <c r="B58" s="2">
        <v>319</v>
      </c>
      <c r="C58" s="4">
        <v>37096</v>
      </c>
      <c r="D58" s="2" t="s">
        <v>642</v>
      </c>
      <c r="E58" s="2" t="s">
        <v>1406</v>
      </c>
      <c r="F58" s="2" t="s">
        <v>1066</v>
      </c>
      <c r="G58" s="2">
        <v>4</v>
      </c>
      <c r="H58" s="2">
        <v>-7</v>
      </c>
      <c r="I58" s="2">
        <v>2310</v>
      </c>
      <c r="J58" s="2">
        <v>760</v>
      </c>
      <c r="K58" s="2">
        <v>90</v>
      </c>
      <c r="L58" s="76">
        <f t="shared" si="0"/>
        <v>40.250000000000007</v>
      </c>
    </row>
    <row r="59" spans="1:15" ht="20.399999999999999" x14ac:dyDescent="0.2">
      <c r="A59" s="2">
        <v>1</v>
      </c>
      <c r="B59" s="2">
        <v>320</v>
      </c>
      <c r="C59" s="4">
        <v>37107</v>
      </c>
      <c r="D59" s="2" t="s">
        <v>642</v>
      </c>
      <c r="E59" s="2" t="s">
        <v>657</v>
      </c>
      <c r="F59" s="2" t="s">
        <v>658</v>
      </c>
      <c r="G59" s="2">
        <v>4</v>
      </c>
      <c r="H59" s="2">
        <v>-4</v>
      </c>
      <c r="J59" s="2">
        <v>815</v>
      </c>
      <c r="K59" s="2">
        <v>77</v>
      </c>
      <c r="L59" s="76">
        <f t="shared" si="0"/>
        <v>41.533333333333339</v>
      </c>
    </row>
    <row r="60" spans="1:15" ht="20.399999999999999" x14ac:dyDescent="0.2">
      <c r="A60" s="2">
        <v>1</v>
      </c>
      <c r="B60" s="2">
        <v>321</v>
      </c>
      <c r="C60" s="4">
        <v>37108</v>
      </c>
      <c r="D60" s="2" t="s">
        <v>659</v>
      </c>
      <c r="E60" s="2" t="s">
        <v>1550</v>
      </c>
      <c r="K60" s="2">
        <v>10</v>
      </c>
      <c r="L60" s="76">
        <f t="shared" si="0"/>
        <v>41.7</v>
      </c>
      <c r="O60" s="2" t="s">
        <v>660</v>
      </c>
    </row>
    <row r="61" spans="1:15" ht="20.399999999999999" x14ac:dyDescent="0.2">
      <c r="A61" s="2">
        <v>1</v>
      </c>
      <c r="B61" s="2">
        <v>322</v>
      </c>
      <c r="C61" s="4">
        <v>37108</v>
      </c>
      <c r="D61" s="2" t="s">
        <v>642</v>
      </c>
      <c r="E61" s="2" t="s">
        <v>1550</v>
      </c>
      <c r="F61" s="2" t="s">
        <v>661</v>
      </c>
      <c r="G61" s="2">
        <v>2</v>
      </c>
      <c r="H61" s="2">
        <v>-6</v>
      </c>
      <c r="K61" s="2">
        <v>16</v>
      </c>
      <c r="L61" s="76">
        <f t="shared" si="0"/>
        <v>41.966666666666669</v>
      </c>
    </row>
    <row r="62" spans="1:15" ht="20.399999999999999" x14ac:dyDescent="0.2">
      <c r="A62" s="2">
        <v>1</v>
      </c>
      <c r="B62" s="2">
        <v>323</v>
      </c>
      <c r="C62" s="4">
        <v>37108</v>
      </c>
      <c r="D62" s="2" t="s">
        <v>642</v>
      </c>
      <c r="E62" s="2" t="s">
        <v>1550</v>
      </c>
      <c r="F62" s="2" t="s">
        <v>661</v>
      </c>
      <c r="G62" s="2">
        <v>3</v>
      </c>
      <c r="H62" s="2">
        <v>-15.3</v>
      </c>
      <c r="K62" s="2">
        <v>68</v>
      </c>
      <c r="L62" s="76">
        <f t="shared" si="0"/>
        <v>43.1</v>
      </c>
      <c r="N62" s="2" t="s">
        <v>662</v>
      </c>
      <c r="O62" s="2" t="s">
        <v>663</v>
      </c>
    </row>
    <row r="63" spans="1:15" ht="20.399999999999999" x14ac:dyDescent="0.2">
      <c r="A63" s="2">
        <v>1</v>
      </c>
      <c r="B63" s="2">
        <v>324</v>
      </c>
      <c r="C63" s="4">
        <v>37108</v>
      </c>
      <c r="D63" s="2" t="s">
        <v>642</v>
      </c>
      <c r="E63" s="2" t="s">
        <v>909</v>
      </c>
      <c r="F63" s="2" t="s">
        <v>664</v>
      </c>
      <c r="G63" s="2">
        <v>4</v>
      </c>
      <c r="H63" s="2">
        <v>-4</v>
      </c>
      <c r="K63" s="2">
        <v>30</v>
      </c>
      <c r="L63" s="76">
        <f t="shared" si="0"/>
        <v>43.6</v>
      </c>
    </row>
    <row r="64" spans="1:15" ht="20.399999999999999" x14ac:dyDescent="0.2">
      <c r="A64" s="2">
        <v>1</v>
      </c>
      <c r="B64" s="2">
        <v>325</v>
      </c>
      <c r="C64" s="4">
        <v>37116</v>
      </c>
      <c r="D64" s="2" t="s">
        <v>642</v>
      </c>
      <c r="E64" s="2" t="s">
        <v>632</v>
      </c>
      <c r="G64" s="2">
        <v>3</v>
      </c>
      <c r="H64" s="2">
        <v>-3</v>
      </c>
      <c r="I64" s="2">
        <v>1900</v>
      </c>
      <c r="K64" s="2">
        <v>75</v>
      </c>
      <c r="L64" s="76">
        <f t="shared" si="0"/>
        <v>44.85</v>
      </c>
    </row>
    <row r="65" spans="1:15" ht="20.399999999999999" x14ac:dyDescent="0.2">
      <c r="A65" s="2">
        <v>1</v>
      </c>
      <c r="B65" s="2">
        <v>326</v>
      </c>
      <c r="C65" s="4">
        <v>37117</v>
      </c>
      <c r="D65" s="2" t="s">
        <v>665</v>
      </c>
      <c r="E65" s="2" t="s">
        <v>632</v>
      </c>
      <c r="G65" s="2">
        <v>3</v>
      </c>
      <c r="H65" s="2">
        <v>-4</v>
      </c>
      <c r="I65" s="2">
        <v>1530</v>
      </c>
      <c r="J65" s="2">
        <v>230</v>
      </c>
      <c r="K65" s="2">
        <v>90</v>
      </c>
      <c r="L65" s="76">
        <f t="shared" si="0"/>
        <v>46.35</v>
      </c>
    </row>
    <row r="66" spans="1:15" ht="20.399999999999999" x14ac:dyDescent="0.2">
      <c r="A66" s="2">
        <v>1</v>
      </c>
      <c r="B66" s="2">
        <v>327</v>
      </c>
      <c r="C66" s="4">
        <v>37118</v>
      </c>
      <c r="D66" s="2" t="s">
        <v>1672</v>
      </c>
      <c r="E66" s="2" t="s">
        <v>632</v>
      </c>
      <c r="G66" s="2">
        <v>1</v>
      </c>
      <c r="H66" s="2">
        <v>-9.6</v>
      </c>
      <c r="K66" s="2">
        <v>9</v>
      </c>
      <c r="L66" s="76">
        <f t="shared" si="0"/>
        <v>46.5</v>
      </c>
    </row>
    <row r="67" spans="1:15" ht="20.399999999999999" x14ac:dyDescent="0.2">
      <c r="A67" s="2">
        <v>1</v>
      </c>
      <c r="B67" s="2">
        <v>328</v>
      </c>
      <c r="C67" s="4">
        <v>37118</v>
      </c>
      <c r="D67" s="2" t="s">
        <v>1672</v>
      </c>
      <c r="E67" s="2" t="s">
        <v>669</v>
      </c>
      <c r="G67" s="2">
        <v>2.5</v>
      </c>
      <c r="H67" s="2">
        <v>-4</v>
      </c>
      <c r="I67" s="2">
        <v>1487</v>
      </c>
      <c r="K67" s="2">
        <v>81</v>
      </c>
      <c r="L67" s="76">
        <f t="shared" ref="L67:L97" si="1">(L66+K67/60)</f>
        <v>47.85</v>
      </c>
      <c r="M67" s="2">
        <v>18</v>
      </c>
      <c r="N67" s="2" t="s">
        <v>670</v>
      </c>
    </row>
    <row r="68" spans="1:15" ht="20.399999999999999" x14ac:dyDescent="0.2">
      <c r="A68" s="2">
        <v>1</v>
      </c>
      <c r="B68" s="2">
        <v>329</v>
      </c>
      <c r="C68" s="4">
        <v>37119</v>
      </c>
      <c r="D68" s="2" t="s">
        <v>642</v>
      </c>
      <c r="E68" s="2" t="s">
        <v>632</v>
      </c>
      <c r="G68" s="2">
        <v>1</v>
      </c>
      <c r="H68" s="2">
        <v>-8.8000000000000007</v>
      </c>
      <c r="K68" s="2">
        <v>8</v>
      </c>
      <c r="L68" s="76">
        <f t="shared" si="1"/>
        <v>47.983333333333334</v>
      </c>
    </row>
    <row r="69" spans="1:15" ht="20.399999999999999" x14ac:dyDescent="0.2">
      <c r="A69" s="2">
        <v>1</v>
      </c>
      <c r="B69" s="2">
        <v>330</v>
      </c>
      <c r="C69" s="4">
        <v>37120</v>
      </c>
      <c r="D69" s="2" t="s">
        <v>666</v>
      </c>
      <c r="E69" s="2" t="s">
        <v>632</v>
      </c>
      <c r="H69" s="2">
        <v>-5.5</v>
      </c>
      <c r="K69" s="2">
        <v>13</v>
      </c>
      <c r="L69" s="76">
        <f t="shared" si="1"/>
        <v>48.2</v>
      </c>
    </row>
    <row r="70" spans="1:15" ht="20.399999999999999" x14ac:dyDescent="0.2">
      <c r="A70" s="2">
        <v>1</v>
      </c>
      <c r="B70" s="2">
        <v>331</v>
      </c>
      <c r="C70" s="4">
        <v>37120</v>
      </c>
      <c r="D70" s="2" t="s">
        <v>667</v>
      </c>
      <c r="E70" s="2" t="s">
        <v>632</v>
      </c>
      <c r="H70" s="2">
        <v>-14.3</v>
      </c>
      <c r="K70" s="2">
        <v>11</v>
      </c>
      <c r="L70" s="76">
        <f t="shared" si="1"/>
        <v>48.383333333333333</v>
      </c>
    </row>
    <row r="71" spans="1:15" ht="20.399999999999999" x14ac:dyDescent="0.2">
      <c r="A71" s="2">
        <v>1</v>
      </c>
      <c r="B71" s="2">
        <v>332</v>
      </c>
      <c r="C71" s="4">
        <v>37120</v>
      </c>
      <c r="D71" s="2" t="s">
        <v>642</v>
      </c>
      <c r="E71" s="2" t="s">
        <v>632</v>
      </c>
      <c r="F71" s="2" t="s">
        <v>1008</v>
      </c>
      <c r="G71" s="2">
        <v>2</v>
      </c>
      <c r="H71" s="2">
        <v>-5.5</v>
      </c>
      <c r="K71" s="2">
        <v>25</v>
      </c>
      <c r="L71" s="76">
        <f t="shared" si="1"/>
        <v>48.8</v>
      </c>
    </row>
    <row r="72" spans="1:15" ht="20.399999999999999" x14ac:dyDescent="0.2">
      <c r="A72" s="2">
        <v>1</v>
      </c>
      <c r="B72" s="2">
        <v>333</v>
      </c>
      <c r="C72" s="4">
        <v>37121</v>
      </c>
      <c r="D72" s="2" t="s">
        <v>642</v>
      </c>
      <c r="E72" s="2" t="s">
        <v>629</v>
      </c>
      <c r="G72" s="2">
        <v>2</v>
      </c>
      <c r="H72" s="2">
        <v>-4</v>
      </c>
      <c r="K72" s="2">
        <v>11</v>
      </c>
      <c r="L72" s="76">
        <f t="shared" si="1"/>
        <v>48.983333333333327</v>
      </c>
      <c r="N72" s="2" t="s">
        <v>668</v>
      </c>
    </row>
    <row r="73" spans="1:15" ht="20.399999999999999" x14ac:dyDescent="0.2">
      <c r="A73" s="2">
        <v>1</v>
      </c>
      <c r="B73" s="2">
        <v>334</v>
      </c>
      <c r="C73" s="4">
        <v>37121</v>
      </c>
      <c r="D73" s="2" t="s">
        <v>642</v>
      </c>
      <c r="E73" s="2" t="s">
        <v>629</v>
      </c>
      <c r="G73" s="2">
        <v>4</v>
      </c>
      <c r="H73" s="2">
        <v>-4</v>
      </c>
      <c r="I73" s="2">
        <v>2314</v>
      </c>
      <c r="J73" s="2">
        <v>1000</v>
      </c>
      <c r="K73" s="2">
        <v>127</v>
      </c>
      <c r="L73" s="76">
        <f t="shared" si="1"/>
        <v>51.099999999999994</v>
      </c>
      <c r="M73" s="2">
        <v>20</v>
      </c>
    </row>
    <row r="74" spans="1:15" ht="20.399999999999999" x14ac:dyDescent="0.2">
      <c r="A74" s="2">
        <v>1</v>
      </c>
      <c r="B74" s="2">
        <v>335</v>
      </c>
      <c r="C74" s="4">
        <v>37122</v>
      </c>
      <c r="D74" s="2" t="s">
        <v>642</v>
      </c>
      <c r="E74" s="2" t="s">
        <v>671</v>
      </c>
      <c r="G74" s="2">
        <v>2</v>
      </c>
      <c r="H74" s="2">
        <v>-3</v>
      </c>
      <c r="K74" s="2">
        <v>34</v>
      </c>
      <c r="L74" s="76">
        <f t="shared" si="1"/>
        <v>51.666666666666664</v>
      </c>
    </row>
    <row r="75" spans="1:15" ht="20.399999999999999" x14ac:dyDescent="0.2">
      <c r="A75" s="2">
        <v>1</v>
      </c>
      <c r="B75" s="2">
        <v>336</v>
      </c>
      <c r="C75" s="4">
        <v>37128</v>
      </c>
      <c r="D75" s="2" t="s">
        <v>659</v>
      </c>
      <c r="E75" s="2" t="s">
        <v>1550</v>
      </c>
      <c r="F75" s="2" t="s">
        <v>1651</v>
      </c>
      <c r="K75" s="2">
        <v>10</v>
      </c>
      <c r="L75" s="76">
        <f t="shared" si="1"/>
        <v>51.833333333333329</v>
      </c>
      <c r="O75" s="2" t="s">
        <v>1652</v>
      </c>
    </row>
    <row r="76" spans="1:15" ht="20.399999999999999" x14ac:dyDescent="0.2">
      <c r="A76" s="2">
        <v>1</v>
      </c>
      <c r="B76" s="2">
        <v>337</v>
      </c>
      <c r="C76" s="4">
        <v>37128</v>
      </c>
      <c r="D76" s="2" t="s">
        <v>642</v>
      </c>
      <c r="E76" s="2" t="s">
        <v>1550</v>
      </c>
      <c r="F76" s="2" t="s">
        <v>1651</v>
      </c>
      <c r="K76" s="2">
        <v>15</v>
      </c>
      <c r="L76" s="76">
        <f t="shared" si="1"/>
        <v>52.083333333333329</v>
      </c>
    </row>
    <row r="77" spans="1:15" ht="20.399999999999999" x14ac:dyDescent="0.2">
      <c r="A77" s="2">
        <v>1</v>
      </c>
      <c r="B77" s="2">
        <v>338</v>
      </c>
      <c r="C77" s="4">
        <v>37129</v>
      </c>
      <c r="D77" s="2" t="s">
        <v>642</v>
      </c>
      <c r="E77" s="2" t="s">
        <v>1550</v>
      </c>
      <c r="F77" s="2" t="s">
        <v>1651</v>
      </c>
      <c r="K77" s="2">
        <v>15</v>
      </c>
      <c r="L77" s="76">
        <f t="shared" si="1"/>
        <v>52.333333333333329</v>
      </c>
    </row>
    <row r="78" spans="1:15" ht="20.399999999999999" x14ac:dyDescent="0.2">
      <c r="A78" s="2">
        <v>1</v>
      </c>
      <c r="B78" s="2">
        <v>339</v>
      </c>
      <c r="C78" s="4">
        <v>37129</v>
      </c>
      <c r="D78" s="2" t="s">
        <v>642</v>
      </c>
      <c r="E78" s="2" t="s">
        <v>1550</v>
      </c>
      <c r="F78" s="2" t="s">
        <v>1651</v>
      </c>
      <c r="K78" s="2">
        <v>15</v>
      </c>
      <c r="L78" s="76">
        <f t="shared" si="1"/>
        <v>52.583333333333329</v>
      </c>
    </row>
    <row r="79" spans="1:15" ht="20.399999999999999" x14ac:dyDescent="0.2">
      <c r="A79" s="2">
        <v>1</v>
      </c>
      <c r="B79" s="2">
        <v>340</v>
      </c>
      <c r="C79" s="4">
        <v>37135</v>
      </c>
      <c r="D79" s="2" t="s">
        <v>642</v>
      </c>
      <c r="E79" s="2" t="s">
        <v>1413</v>
      </c>
      <c r="F79" s="2" t="s">
        <v>1654</v>
      </c>
      <c r="G79" s="2">
        <v>1</v>
      </c>
      <c r="H79" s="2">
        <v>-4</v>
      </c>
      <c r="I79" s="2">
        <v>1521</v>
      </c>
      <c r="J79" s="2">
        <v>0</v>
      </c>
      <c r="K79" s="2">
        <v>14</v>
      </c>
      <c r="L79" s="76">
        <f t="shared" si="1"/>
        <v>52.816666666666663</v>
      </c>
      <c r="N79" s="2" t="s">
        <v>1653</v>
      </c>
    </row>
    <row r="80" spans="1:15" ht="214.2" x14ac:dyDescent="0.2">
      <c r="A80" s="2">
        <v>1</v>
      </c>
      <c r="B80" s="2">
        <v>341</v>
      </c>
      <c r="C80" s="4">
        <v>37135</v>
      </c>
      <c r="D80" s="2" t="s">
        <v>642</v>
      </c>
      <c r="E80" s="2" t="s">
        <v>1413</v>
      </c>
      <c r="F80" s="2" t="s">
        <v>1654</v>
      </c>
      <c r="G80" s="2">
        <v>5</v>
      </c>
      <c r="H80" s="2">
        <v>-4</v>
      </c>
      <c r="I80" s="2">
        <v>2450</v>
      </c>
      <c r="J80" s="2">
        <v>850</v>
      </c>
      <c r="K80" s="2">
        <v>113</v>
      </c>
      <c r="L80" s="76">
        <f t="shared" si="1"/>
        <v>54.699999999999996</v>
      </c>
      <c r="M80" s="2">
        <v>18</v>
      </c>
      <c r="N80" s="2" t="s">
        <v>967</v>
      </c>
      <c r="O80" s="46" t="s">
        <v>1705</v>
      </c>
    </row>
    <row r="81" spans="1:16" ht="20.399999999999999" x14ac:dyDescent="0.2">
      <c r="A81" s="2">
        <v>1</v>
      </c>
      <c r="B81" s="2">
        <v>342</v>
      </c>
      <c r="C81" s="4">
        <v>37136</v>
      </c>
      <c r="D81" s="2" t="s">
        <v>642</v>
      </c>
      <c r="E81" s="2" t="s">
        <v>1413</v>
      </c>
      <c r="H81" s="2">
        <v>-3.5</v>
      </c>
      <c r="I81" s="2">
        <v>2000</v>
      </c>
      <c r="J81" s="2">
        <v>0</v>
      </c>
      <c r="K81" s="2">
        <v>16</v>
      </c>
      <c r="L81" s="76">
        <f t="shared" si="1"/>
        <v>54.966666666666661</v>
      </c>
      <c r="N81" s="2" t="s">
        <v>1655</v>
      </c>
    </row>
    <row r="82" spans="1:16" ht="20.399999999999999" x14ac:dyDescent="0.2">
      <c r="A82" s="2">
        <v>1</v>
      </c>
      <c r="B82" s="2">
        <v>343</v>
      </c>
      <c r="C82" s="4">
        <v>37501</v>
      </c>
      <c r="D82" s="2" t="s">
        <v>642</v>
      </c>
      <c r="E82" s="2" t="s">
        <v>1413</v>
      </c>
      <c r="G82" s="2">
        <v>2.5</v>
      </c>
      <c r="H82" s="2">
        <v>-4</v>
      </c>
      <c r="I82" s="2">
        <v>1600</v>
      </c>
      <c r="J82" s="2">
        <v>0</v>
      </c>
      <c r="K82" s="2">
        <v>63</v>
      </c>
      <c r="L82" s="76">
        <f t="shared" si="1"/>
        <v>56.016666666666659</v>
      </c>
      <c r="N82" s="2" t="s">
        <v>967</v>
      </c>
    </row>
    <row r="83" spans="1:16" ht="20.399999999999999" x14ac:dyDescent="0.2">
      <c r="A83" s="2">
        <v>1</v>
      </c>
      <c r="B83" s="2">
        <v>344</v>
      </c>
      <c r="C83" s="4">
        <v>37136</v>
      </c>
      <c r="D83" s="2" t="s">
        <v>642</v>
      </c>
      <c r="E83" s="2" t="s">
        <v>1413</v>
      </c>
      <c r="G83" s="2">
        <v>4</v>
      </c>
      <c r="H83" s="2">
        <v>-4</v>
      </c>
      <c r="I83" s="2">
        <v>2300</v>
      </c>
      <c r="J83" s="2">
        <v>700</v>
      </c>
      <c r="K83" s="2">
        <v>96</v>
      </c>
      <c r="L83" s="76">
        <f t="shared" si="1"/>
        <v>57.61666666666666</v>
      </c>
      <c r="N83" s="2" t="s">
        <v>1311</v>
      </c>
      <c r="O83" s="2" t="s">
        <v>1709</v>
      </c>
    </row>
    <row r="84" spans="1:16" ht="71.400000000000006" x14ac:dyDescent="0.2">
      <c r="A84" s="2">
        <v>1</v>
      </c>
      <c r="B84" s="2">
        <v>345</v>
      </c>
      <c r="C84" s="4">
        <v>37171</v>
      </c>
      <c r="D84" s="2" t="s">
        <v>642</v>
      </c>
      <c r="E84" s="2" t="s">
        <v>1650</v>
      </c>
      <c r="G84" s="2">
        <v>3</v>
      </c>
      <c r="H84" s="2">
        <v>-7</v>
      </c>
      <c r="I84" s="2">
        <v>1450</v>
      </c>
      <c r="J84" s="2">
        <v>500</v>
      </c>
      <c r="K84" s="2">
        <v>33</v>
      </c>
      <c r="L84" s="76">
        <f t="shared" si="1"/>
        <v>58.166666666666657</v>
      </c>
      <c r="N84" s="2" t="s">
        <v>985</v>
      </c>
      <c r="O84" s="2" t="s">
        <v>1707</v>
      </c>
      <c r="P84" s="2" t="s">
        <v>1708</v>
      </c>
    </row>
    <row r="85" spans="1:16" ht="20.399999999999999" x14ac:dyDescent="0.2">
      <c r="A85" s="2">
        <v>1</v>
      </c>
      <c r="B85" s="2">
        <v>346</v>
      </c>
      <c r="C85" s="4">
        <v>37178</v>
      </c>
      <c r="D85" s="2" t="s">
        <v>642</v>
      </c>
      <c r="E85" s="2" t="s">
        <v>1344</v>
      </c>
      <c r="G85" s="2">
        <v>2</v>
      </c>
      <c r="H85" s="2">
        <v>-4</v>
      </c>
      <c r="I85" s="2">
        <v>1780</v>
      </c>
      <c r="J85" s="2">
        <v>0</v>
      </c>
      <c r="K85" s="2">
        <v>17</v>
      </c>
      <c r="L85" s="76">
        <f t="shared" si="1"/>
        <v>58.449999999999989</v>
      </c>
    </row>
    <row r="86" spans="1:16" ht="20.399999999999999" x14ac:dyDescent="0.2">
      <c r="A86" s="2">
        <v>1</v>
      </c>
      <c r="B86" s="2">
        <v>347</v>
      </c>
      <c r="C86" s="4">
        <v>37178</v>
      </c>
      <c r="D86" s="2" t="s">
        <v>642</v>
      </c>
      <c r="E86" s="2" t="s">
        <v>1344</v>
      </c>
      <c r="G86" s="2">
        <v>3</v>
      </c>
      <c r="H86" s="2">
        <v>-3</v>
      </c>
      <c r="I86" s="2">
        <v>1246</v>
      </c>
      <c r="J86" s="2">
        <v>100</v>
      </c>
      <c r="K86" s="2">
        <v>46</v>
      </c>
      <c r="L86" s="76">
        <f t="shared" si="1"/>
        <v>59.216666666666654</v>
      </c>
    </row>
    <row r="87" spans="1:16" ht="20.399999999999999" x14ac:dyDescent="0.2">
      <c r="A87" s="2">
        <v>1</v>
      </c>
      <c r="B87" s="2">
        <v>348</v>
      </c>
      <c r="C87" s="4">
        <v>37193</v>
      </c>
      <c r="D87" s="2" t="s">
        <v>642</v>
      </c>
      <c r="E87" s="2" t="s">
        <v>1344</v>
      </c>
      <c r="G87" s="2">
        <v>2</v>
      </c>
      <c r="H87" s="2">
        <v>-3</v>
      </c>
      <c r="I87" s="2">
        <v>1367</v>
      </c>
      <c r="J87" s="2">
        <v>0</v>
      </c>
      <c r="K87" s="2">
        <v>15</v>
      </c>
      <c r="L87" s="76">
        <f t="shared" si="1"/>
        <v>59.466666666666654</v>
      </c>
    </row>
    <row r="88" spans="1:16" ht="20.399999999999999" x14ac:dyDescent="0.2">
      <c r="A88" s="2">
        <v>1</v>
      </c>
      <c r="B88" s="2">
        <v>349</v>
      </c>
      <c r="C88" s="4">
        <v>37193</v>
      </c>
      <c r="D88" s="2" t="s">
        <v>642</v>
      </c>
      <c r="E88" s="2" t="s">
        <v>1344</v>
      </c>
      <c r="G88" s="2">
        <v>3</v>
      </c>
      <c r="H88" s="2">
        <v>-4</v>
      </c>
      <c r="I88" s="2">
        <v>1616</v>
      </c>
      <c r="J88" s="2">
        <v>236</v>
      </c>
      <c r="K88" s="2">
        <v>80</v>
      </c>
      <c r="L88" s="76">
        <f t="shared" si="1"/>
        <v>60.79999999999999</v>
      </c>
    </row>
    <row r="89" spans="1:16" ht="20.399999999999999" x14ac:dyDescent="0.2">
      <c r="A89" s="2">
        <v>1</v>
      </c>
      <c r="B89" s="2">
        <v>350</v>
      </c>
      <c r="C89" s="4">
        <v>37197</v>
      </c>
      <c r="D89" s="2" t="s">
        <v>659</v>
      </c>
      <c r="E89" s="2" t="s">
        <v>1344</v>
      </c>
      <c r="K89" s="2">
        <v>5</v>
      </c>
      <c r="L89" s="76">
        <f t="shared" si="1"/>
        <v>60.883333333333326</v>
      </c>
    </row>
    <row r="90" spans="1:16" ht="20.399999999999999" x14ac:dyDescent="0.2">
      <c r="A90" s="2">
        <v>1</v>
      </c>
      <c r="B90" s="2">
        <v>351</v>
      </c>
      <c r="C90" s="4">
        <v>37197</v>
      </c>
      <c r="D90" s="2" t="s">
        <v>642</v>
      </c>
      <c r="E90" s="2" t="s">
        <v>1344</v>
      </c>
      <c r="G90" s="2">
        <v>4</v>
      </c>
      <c r="H90" s="2" t="s">
        <v>1710</v>
      </c>
      <c r="I90" s="2">
        <v>2687</v>
      </c>
      <c r="K90" s="2">
        <v>32</v>
      </c>
      <c r="L90" s="76">
        <f t="shared" si="1"/>
        <v>61.416666666666657</v>
      </c>
    </row>
    <row r="91" spans="1:16" ht="20.399999999999999" x14ac:dyDescent="0.2">
      <c r="A91" s="2">
        <v>1</v>
      </c>
      <c r="B91" s="2">
        <v>352</v>
      </c>
      <c r="C91" s="4">
        <v>37197</v>
      </c>
      <c r="D91" s="2" t="s">
        <v>659</v>
      </c>
      <c r="E91" s="2" t="s">
        <v>1344</v>
      </c>
      <c r="G91" s="2">
        <v>2.5</v>
      </c>
      <c r="H91" s="2">
        <v>-6</v>
      </c>
      <c r="I91" s="2">
        <v>2400</v>
      </c>
      <c r="K91" s="2">
        <v>60</v>
      </c>
      <c r="L91" s="76">
        <f t="shared" si="1"/>
        <v>62.416666666666657</v>
      </c>
    </row>
    <row r="92" spans="1:16" ht="20.399999999999999" x14ac:dyDescent="0.2">
      <c r="A92" s="2">
        <v>1</v>
      </c>
      <c r="B92" s="2">
        <v>353</v>
      </c>
      <c r="C92" s="4">
        <v>37198</v>
      </c>
      <c r="D92" s="2" t="s">
        <v>642</v>
      </c>
      <c r="E92" s="2" t="s">
        <v>1344</v>
      </c>
      <c r="G92" s="2">
        <v>3.5</v>
      </c>
      <c r="H92" s="2">
        <v>-4</v>
      </c>
      <c r="I92" s="2">
        <v>2664</v>
      </c>
      <c r="J92" s="2">
        <v>308</v>
      </c>
      <c r="K92" s="2">
        <v>48</v>
      </c>
      <c r="L92" s="76">
        <f t="shared" si="1"/>
        <v>63.216666666666654</v>
      </c>
    </row>
    <row r="93" spans="1:16" ht="20.399999999999999" x14ac:dyDescent="0.2">
      <c r="A93" s="2">
        <v>1</v>
      </c>
      <c r="B93" s="2">
        <v>354</v>
      </c>
      <c r="C93" s="4">
        <v>37198</v>
      </c>
      <c r="D93" s="2" t="s">
        <v>642</v>
      </c>
      <c r="E93" s="2" t="s">
        <v>1344</v>
      </c>
      <c r="G93" s="2">
        <v>2</v>
      </c>
      <c r="H93" s="2">
        <v>-7</v>
      </c>
      <c r="I93" s="2">
        <v>2363</v>
      </c>
      <c r="K93" s="2">
        <v>29</v>
      </c>
      <c r="L93" s="76">
        <f t="shared" si="1"/>
        <v>63.699999999999989</v>
      </c>
    </row>
    <row r="94" spans="1:16" ht="20.399999999999999" x14ac:dyDescent="0.2">
      <c r="A94" s="2">
        <v>1</v>
      </c>
      <c r="B94" s="2">
        <v>355</v>
      </c>
      <c r="C94" s="4">
        <v>37199</v>
      </c>
      <c r="D94" s="2" t="s">
        <v>642</v>
      </c>
      <c r="E94" s="2" t="s">
        <v>1344</v>
      </c>
      <c r="G94" s="2">
        <v>4.5</v>
      </c>
      <c r="H94" s="2">
        <v>-5</v>
      </c>
      <c r="I94" s="2">
        <v>3154</v>
      </c>
      <c r="J94" s="2">
        <v>800</v>
      </c>
      <c r="K94" s="2">
        <v>120</v>
      </c>
      <c r="L94" s="76">
        <f t="shared" si="1"/>
        <v>65.699999999999989</v>
      </c>
    </row>
    <row r="95" spans="1:16" ht="20.399999999999999" x14ac:dyDescent="0.2">
      <c r="A95" s="2">
        <v>1</v>
      </c>
      <c r="B95" s="2">
        <v>356</v>
      </c>
      <c r="C95" s="4">
        <v>37255</v>
      </c>
      <c r="D95" s="2" t="s">
        <v>642</v>
      </c>
      <c r="E95" s="2" t="s">
        <v>769</v>
      </c>
      <c r="K95" s="2">
        <v>5</v>
      </c>
      <c r="L95" s="76">
        <f t="shared" si="1"/>
        <v>65.783333333333317</v>
      </c>
    </row>
    <row r="96" spans="1:16" ht="20.399999999999999" x14ac:dyDescent="0.2">
      <c r="A96" s="2">
        <v>1</v>
      </c>
      <c r="B96" s="2">
        <v>357</v>
      </c>
      <c r="C96" s="4">
        <v>37256</v>
      </c>
      <c r="D96" s="2" t="s">
        <v>642</v>
      </c>
      <c r="E96" s="2" t="s">
        <v>769</v>
      </c>
      <c r="K96" s="2">
        <v>10</v>
      </c>
      <c r="L96" s="76">
        <f t="shared" si="1"/>
        <v>65.949999999999989</v>
      </c>
    </row>
    <row r="97" spans="1:12" ht="20.399999999999999" x14ac:dyDescent="0.2">
      <c r="A97" s="2">
        <v>1</v>
      </c>
      <c r="B97" s="2">
        <v>358</v>
      </c>
      <c r="C97" s="4">
        <v>37256</v>
      </c>
      <c r="D97" s="2" t="s">
        <v>642</v>
      </c>
      <c r="E97" s="2" t="s">
        <v>769</v>
      </c>
      <c r="K97" s="2">
        <v>12</v>
      </c>
      <c r="L97" s="76">
        <f t="shared" si="1"/>
        <v>66.149999999999991</v>
      </c>
    </row>
    <row r="163" ht="36" customHeight="1" x14ac:dyDescent="0.25"/>
    <row r="164" ht="36" customHeight="1" x14ac:dyDescent="0.25"/>
  </sheetData>
  <phoneticPr fontId="0" type="noConversion"/>
  <pageMargins left="0.78740157499999996" right="0.78740157499999996" top="0.984251969" bottom="0.984251969" header="0.4921259845" footer="0.4921259845"/>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57"/>
  <sheetViews>
    <sheetView workbookViewId="0">
      <pane ySplit="1" topLeftCell="A27" activePane="bottomLeft" state="frozenSplit"/>
      <selection activeCell="E34" sqref="E34"/>
      <selection pane="bottomLeft" activeCell="O32" sqref="O32"/>
    </sheetView>
  </sheetViews>
  <sheetFormatPr baseColWidth="10" defaultColWidth="11.44140625" defaultRowHeight="10.199999999999999" x14ac:dyDescent="0.25"/>
  <cols>
    <col min="1" max="1" width="5.5546875" style="2" customWidth="1"/>
    <col min="2" max="2" width="5.44140625" style="2" customWidth="1"/>
    <col min="3" max="3" width="9.109375" style="4" customWidth="1"/>
    <col min="4" max="4" width="7.109375" style="2" customWidth="1"/>
    <col min="5" max="5" width="11.44140625" style="2" customWidth="1"/>
    <col min="6" max="6" width="10.5546875" style="2" bestFit="1" customWidth="1"/>
    <col min="7" max="7" width="4.44140625" style="2" bestFit="1" customWidth="1"/>
    <col min="8" max="8" width="3.6640625" style="2" customWidth="1"/>
    <col min="9" max="10" width="4.109375" style="2" customWidth="1"/>
    <col min="11" max="12" width="6.44140625" style="2" customWidth="1"/>
    <col min="13" max="13" width="3.6640625" style="2" customWidth="1"/>
    <col min="14" max="14" width="13.109375" style="2" customWidth="1"/>
    <col min="15" max="15" width="62.44140625" style="2" customWidth="1"/>
    <col min="16" max="16" width="10.33203125" style="2" customWidth="1"/>
    <col min="17" max="16384" width="11.44140625" style="2"/>
  </cols>
  <sheetData>
    <row r="1" spans="1:16" s="1" customFormat="1" ht="20.399999999999999" x14ac:dyDescent="0.25">
      <c r="A1" s="1" t="s">
        <v>1178</v>
      </c>
      <c r="B1" s="1" t="s">
        <v>1164</v>
      </c>
      <c r="C1" s="3" t="s">
        <v>1165</v>
      </c>
      <c r="D1" s="1" t="s">
        <v>1166</v>
      </c>
      <c r="E1" s="1" t="s">
        <v>1167</v>
      </c>
      <c r="F1" s="1" t="s">
        <v>1177</v>
      </c>
      <c r="G1" s="1" t="s">
        <v>1171</v>
      </c>
      <c r="H1" s="1" t="s">
        <v>1172</v>
      </c>
      <c r="I1" s="1" t="s">
        <v>1173</v>
      </c>
      <c r="J1" s="1" t="s">
        <v>1174</v>
      </c>
      <c r="K1" s="1" t="s">
        <v>1175</v>
      </c>
      <c r="L1" s="39" t="s">
        <v>321</v>
      </c>
      <c r="M1" s="1" t="s">
        <v>1179</v>
      </c>
      <c r="N1" s="1" t="s">
        <v>1168</v>
      </c>
      <c r="O1" s="1" t="s">
        <v>1162</v>
      </c>
      <c r="P1" s="1" t="s">
        <v>1163</v>
      </c>
    </row>
    <row r="2" spans="1:16" ht="30.6" x14ac:dyDescent="0.25">
      <c r="A2" s="2">
        <v>1</v>
      </c>
      <c r="B2" s="2">
        <v>208</v>
      </c>
      <c r="C2" s="4">
        <v>36695</v>
      </c>
      <c r="D2" s="17" t="s">
        <v>1612</v>
      </c>
      <c r="E2" s="2" t="s">
        <v>1092</v>
      </c>
      <c r="F2" s="2" t="s">
        <v>1098</v>
      </c>
      <c r="G2" s="2">
        <v>2</v>
      </c>
      <c r="H2" s="2">
        <v>-4</v>
      </c>
      <c r="K2" s="2">
        <v>17</v>
      </c>
      <c r="N2" s="2" t="s">
        <v>1099</v>
      </c>
      <c r="O2" s="2" t="s">
        <v>1100</v>
      </c>
    </row>
    <row r="3" spans="1:16" ht="51" x14ac:dyDescent="0.25">
      <c r="A3" s="2">
        <v>1</v>
      </c>
      <c r="B3" s="2">
        <v>209</v>
      </c>
      <c r="C3" s="4">
        <v>36695</v>
      </c>
      <c r="D3" s="17" t="s">
        <v>1612</v>
      </c>
      <c r="E3" s="2" t="s">
        <v>1093</v>
      </c>
      <c r="F3" s="2" t="s">
        <v>1101</v>
      </c>
      <c r="G3" s="2">
        <v>6</v>
      </c>
      <c r="H3" s="2">
        <v>-4</v>
      </c>
      <c r="I3" s="2">
        <v>2160</v>
      </c>
      <c r="J3" s="2">
        <v>930</v>
      </c>
      <c r="K3" s="2">
        <v>156</v>
      </c>
      <c r="M3" s="2">
        <v>20</v>
      </c>
      <c r="N3" s="2" t="s">
        <v>1102</v>
      </c>
      <c r="O3" s="2" t="s">
        <v>1103</v>
      </c>
      <c r="P3" s="2" t="s">
        <v>1104</v>
      </c>
    </row>
    <row r="4" spans="1:16" ht="40.799999999999997" x14ac:dyDescent="0.25">
      <c r="A4" s="2">
        <v>1</v>
      </c>
      <c r="B4" s="2">
        <v>210</v>
      </c>
      <c r="C4" s="4">
        <v>36696</v>
      </c>
      <c r="D4" s="17" t="s">
        <v>1612</v>
      </c>
      <c r="E4" s="2" t="s">
        <v>1094</v>
      </c>
      <c r="F4" s="2" t="s">
        <v>1105</v>
      </c>
      <c r="G4" s="2">
        <v>4</v>
      </c>
      <c r="H4" s="2">
        <v>-4</v>
      </c>
      <c r="I4" s="2">
        <v>2350</v>
      </c>
      <c r="J4" s="2">
        <v>850</v>
      </c>
      <c r="K4" s="2">
        <v>76</v>
      </c>
      <c r="M4" s="2">
        <v>10</v>
      </c>
      <c r="N4" s="2" t="s">
        <v>1106</v>
      </c>
      <c r="O4" s="2" t="s">
        <v>1107</v>
      </c>
    </row>
    <row r="5" spans="1:16" ht="91.8" x14ac:dyDescent="0.25">
      <c r="A5" s="2">
        <v>1</v>
      </c>
      <c r="B5" s="2">
        <v>211</v>
      </c>
      <c r="C5" s="4">
        <v>36696</v>
      </c>
      <c r="D5" s="17" t="s">
        <v>1612</v>
      </c>
      <c r="E5" s="2" t="s">
        <v>1095</v>
      </c>
      <c r="F5" s="2" t="s">
        <v>1108</v>
      </c>
      <c r="G5" s="2">
        <v>6</v>
      </c>
      <c r="H5" s="2">
        <v>-6</v>
      </c>
      <c r="I5" s="2">
        <v>2145</v>
      </c>
      <c r="J5" s="2">
        <v>563</v>
      </c>
      <c r="K5" s="2">
        <v>170</v>
      </c>
      <c r="M5" s="2">
        <v>24</v>
      </c>
      <c r="N5" s="2" t="s">
        <v>1109</v>
      </c>
      <c r="O5" s="2" t="s">
        <v>775</v>
      </c>
    </row>
    <row r="6" spans="1:16" ht="30.6" x14ac:dyDescent="0.25">
      <c r="A6" s="2">
        <v>1</v>
      </c>
      <c r="B6" s="2">
        <v>212</v>
      </c>
      <c r="C6" s="4">
        <v>36697</v>
      </c>
      <c r="D6" s="17" t="s">
        <v>1612</v>
      </c>
      <c r="E6" s="2" t="s">
        <v>1096</v>
      </c>
      <c r="F6" s="2" t="s">
        <v>776</v>
      </c>
      <c r="G6" s="2">
        <v>3</v>
      </c>
      <c r="H6" s="2">
        <v>-9</v>
      </c>
      <c r="K6" s="2">
        <v>20</v>
      </c>
      <c r="N6" s="2" t="s">
        <v>777</v>
      </c>
      <c r="O6" s="2" t="s">
        <v>778</v>
      </c>
      <c r="P6" s="2" t="s">
        <v>779</v>
      </c>
    </row>
    <row r="7" spans="1:16" ht="51" x14ac:dyDescent="0.25">
      <c r="A7" s="2">
        <v>1</v>
      </c>
      <c r="B7" s="2">
        <v>213</v>
      </c>
      <c r="C7" s="4">
        <v>36697</v>
      </c>
      <c r="D7" s="17" t="s">
        <v>1612</v>
      </c>
      <c r="E7" s="2" t="s">
        <v>1096</v>
      </c>
      <c r="F7" s="2" t="s">
        <v>780</v>
      </c>
      <c r="G7" s="2">
        <v>4</v>
      </c>
      <c r="H7" s="2">
        <v>-4</v>
      </c>
      <c r="I7" s="2">
        <v>2180</v>
      </c>
      <c r="J7" s="2">
        <v>407</v>
      </c>
      <c r="K7" s="2">
        <v>98</v>
      </c>
      <c r="M7" s="2">
        <v>10</v>
      </c>
      <c r="N7" s="2" t="s">
        <v>781</v>
      </c>
      <c r="O7" s="2" t="s">
        <v>782</v>
      </c>
      <c r="P7" s="2" t="s">
        <v>783</v>
      </c>
    </row>
    <row r="8" spans="1:16" ht="40.799999999999997" x14ac:dyDescent="0.25">
      <c r="A8" s="2">
        <v>1</v>
      </c>
      <c r="B8" s="2">
        <v>214</v>
      </c>
      <c r="C8" s="4">
        <v>36698</v>
      </c>
      <c r="D8" s="17" t="s">
        <v>1612</v>
      </c>
      <c r="E8" s="2" t="s">
        <v>1097</v>
      </c>
      <c r="F8" s="2" t="s">
        <v>784</v>
      </c>
      <c r="G8" s="2">
        <v>3</v>
      </c>
      <c r="H8" s="2">
        <v>-4</v>
      </c>
      <c r="I8" s="2">
        <v>1416</v>
      </c>
      <c r="J8" s="2">
        <v>40</v>
      </c>
      <c r="K8" s="2">
        <v>17</v>
      </c>
      <c r="N8" s="2" t="s">
        <v>785</v>
      </c>
      <c r="O8" s="2" t="s">
        <v>786</v>
      </c>
    </row>
    <row r="9" spans="1:16" ht="51" x14ac:dyDescent="0.25">
      <c r="A9" s="2">
        <v>1</v>
      </c>
      <c r="B9" s="2">
        <v>215</v>
      </c>
      <c r="C9" s="4">
        <v>36698</v>
      </c>
      <c r="D9" s="17" t="s">
        <v>1612</v>
      </c>
      <c r="E9" s="2" t="s">
        <v>1094</v>
      </c>
      <c r="F9" s="2" t="s">
        <v>787</v>
      </c>
      <c r="G9" s="2">
        <v>5</v>
      </c>
      <c r="H9" s="2">
        <v>-4</v>
      </c>
      <c r="I9" s="2">
        <v>2920</v>
      </c>
      <c r="J9" s="2">
        <v>1363</v>
      </c>
      <c r="K9" s="2">
        <v>70</v>
      </c>
      <c r="M9" s="2">
        <v>12</v>
      </c>
      <c r="N9" s="2" t="s">
        <v>842</v>
      </c>
      <c r="O9" s="2" t="s">
        <v>843</v>
      </c>
    </row>
    <row r="10" spans="1:16" ht="40.799999999999997" x14ac:dyDescent="0.25">
      <c r="A10" s="2">
        <v>1</v>
      </c>
      <c r="B10" s="2">
        <v>216</v>
      </c>
      <c r="C10" s="4">
        <v>36699</v>
      </c>
      <c r="D10" s="17" t="s">
        <v>1612</v>
      </c>
      <c r="E10" s="2" t="s">
        <v>1094</v>
      </c>
      <c r="F10" s="2" t="s">
        <v>844</v>
      </c>
      <c r="G10" s="2">
        <v>2</v>
      </c>
      <c r="H10" s="2">
        <v>-4</v>
      </c>
      <c r="I10" s="2">
        <v>1634</v>
      </c>
      <c r="J10" s="2">
        <v>85</v>
      </c>
      <c r="K10" s="2">
        <v>13</v>
      </c>
      <c r="N10" s="2" t="s">
        <v>845</v>
      </c>
      <c r="O10" s="2" t="s">
        <v>846</v>
      </c>
    </row>
    <row r="11" spans="1:16" ht="30.6" x14ac:dyDescent="0.25">
      <c r="A11" s="2">
        <v>1</v>
      </c>
      <c r="B11" s="2">
        <v>217</v>
      </c>
      <c r="C11" s="4">
        <v>36699</v>
      </c>
      <c r="D11" s="17" t="s">
        <v>1612</v>
      </c>
      <c r="E11" s="2" t="s">
        <v>1096</v>
      </c>
      <c r="F11" s="2" t="s">
        <v>848</v>
      </c>
      <c r="G11" s="2">
        <v>1</v>
      </c>
      <c r="H11" s="2">
        <v>-10</v>
      </c>
      <c r="K11" s="2">
        <v>11</v>
      </c>
      <c r="N11" s="2" t="s">
        <v>847</v>
      </c>
      <c r="P11" s="2" t="s">
        <v>849</v>
      </c>
    </row>
    <row r="12" spans="1:16" ht="40.799999999999997" x14ac:dyDescent="0.25">
      <c r="A12" s="2">
        <v>1</v>
      </c>
      <c r="B12" s="2">
        <v>218</v>
      </c>
      <c r="C12" s="4">
        <v>36699</v>
      </c>
      <c r="D12" s="17" t="s">
        <v>1612</v>
      </c>
      <c r="E12" s="2" t="s">
        <v>1096</v>
      </c>
      <c r="F12" s="2" t="s">
        <v>848</v>
      </c>
      <c r="G12" s="2">
        <v>1</v>
      </c>
      <c r="H12" s="2">
        <v>-8</v>
      </c>
      <c r="K12" s="2">
        <v>12</v>
      </c>
      <c r="N12" s="2" t="s">
        <v>850</v>
      </c>
      <c r="P12" s="2" t="s">
        <v>851</v>
      </c>
    </row>
    <row r="13" spans="1:16" ht="51" x14ac:dyDescent="0.25">
      <c r="A13" s="2">
        <v>1</v>
      </c>
      <c r="B13" s="2">
        <v>219</v>
      </c>
      <c r="C13" s="4">
        <v>36700</v>
      </c>
      <c r="D13" s="17" t="s">
        <v>1612</v>
      </c>
      <c r="E13" s="2" t="s">
        <v>1093</v>
      </c>
      <c r="F13" s="2" t="s">
        <v>852</v>
      </c>
      <c r="G13" s="2">
        <v>5</v>
      </c>
      <c r="H13" s="2">
        <v>-9</v>
      </c>
      <c r="I13" s="2">
        <v>2050</v>
      </c>
      <c r="J13" s="2">
        <v>750</v>
      </c>
      <c r="K13" s="2">
        <v>110</v>
      </c>
      <c r="M13" s="2">
        <v>16</v>
      </c>
      <c r="N13" s="2" t="s">
        <v>853</v>
      </c>
      <c r="O13" s="2" t="s">
        <v>1207</v>
      </c>
      <c r="P13" s="2" t="s">
        <v>854</v>
      </c>
    </row>
    <row r="14" spans="1:16" ht="51" x14ac:dyDescent="0.25">
      <c r="A14" s="2">
        <v>1</v>
      </c>
      <c r="B14" s="2">
        <v>220</v>
      </c>
      <c r="C14" s="4">
        <v>36700</v>
      </c>
      <c r="D14" s="17" t="s">
        <v>1612</v>
      </c>
      <c r="E14" s="2" t="s">
        <v>1093</v>
      </c>
      <c r="F14" s="2" t="s">
        <v>852</v>
      </c>
      <c r="G14" s="2">
        <v>4</v>
      </c>
      <c r="H14" s="2">
        <v>-4</v>
      </c>
      <c r="I14" s="2">
        <v>1693</v>
      </c>
      <c r="J14" s="2">
        <v>391</v>
      </c>
      <c r="K14" s="2">
        <v>57</v>
      </c>
      <c r="N14" s="2" t="s">
        <v>1208</v>
      </c>
      <c r="O14" s="2" t="s">
        <v>1209</v>
      </c>
    </row>
    <row r="15" spans="1:16" ht="30.6" x14ac:dyDescent="0.25">
      <c r="A15" s="2">
        <v>1</v>
      </c>
      <c r="B15" s="2">
        <v>221</v>
      </c>
      <c r="C15" s="4">
        <v>36713</v>
      </c>
      <c r="D15" s="17" t="s">
        <v>1612</v>
      </c>
      <c r="E15" s="2" t="s">
        <v>1406</v>
      </c>
      <c r="F15" s="2" t="s">
        <v>1407</v>
      </c>
      <c r="G15" s="2">
        <v>4</v>
      </c>
      <c r="H15" s="2">
        <v>-12.4</v>
      </c>
      <c r="I15" s="2">
        <v>1892</v>
      </c>
      <c r="J15" s="2">
        <v>353</v>
      </c>
      <c r="K15" s="2">
        <v>26</v>
      </c>
      <c r="N15" s="2" t="s">
        <v>1416</v>
      </c>
      <c r="O15" s="2" t="s">
        <v>1417</v>
      </c>
    </row>
    <row r="16" spans="1:16" ht="30.6" x14ac:dyDescent="0.25">
      <c r="A16" s="2">
        <v>1</v>
      </c>
      <c r="B16" s="2">
        <v>222</v>
      </c>
      <c r="C16" s="4">
        <v>36725</v>
      </c>
      <c r="D16" s="17" t="s">
        <v>1612</v>
      </c>
      <c r="E16" s="2" t="s">
        <v>1408</v>
      </c>
      <c r="F16" s="2" t="s">
        <v>1409</v>
      </c>
      <c r="G16" s="2">
        <v>0</v>
      </c>
      <c r="H16" s="2">
        <v>-5</v>
      </c>
      <c r="J16" s="2">
        <v>0</v>
      </c>
      <c r="K16" s="2">
        <v>13</v>
      </c>
    </row>
    <row r="17" spans="1:16" ht="30.6" x14ac:dyDescent="0.25">
      <c r="A17" s="2">
        <v>1</v>
      </c>
      <c r="B17" s="2">
        <v>223</v>
      </c>
      <c r="C17" s="4">
        <v>36725</v>
      </c>
      <c r="D17" s="17" t="s">
        <v>1612</v>
      </c>
      <c r="E17" s="2" t="s">
        <v>1408</v>
      </c>
      <c r="F17" s="2" t="s">
        <v>1409</v>
      </c>
      <c r="G17" s="2">
        <v>3</v>
      </c>
      <c r="H17" s="2">
        <v>-5</v>
      </c>
      <c r="J17" s="2">
        <v>0</v>
      </c>
      <c r="K17" s="2">
        <v>27</v>
      </c>
    </row>
    <row r="18" spans="1:16" ht="61.2" x14ac:dyDescent="0.25">
      <c r="A18" s="2">
        <v>1</v>
      </c>
      <c r="B18" s="2">
        <v>224</v>
      </c>
      <c r="C18" s="4">
        <v>36728</v>
      </c>
      <c r="D18" s="17" t="s">
        <v>1612</v>
      </c>
      <c r="E18" s="2" t="s">
        <v>1411</v>
      </c>
      <c r="F18" s="2" t="s">
        <v>1409</v>
      </c>
      <c r="G18" s="2">
        <v>3.8</v>
      </c>
      <c r="H18" s="2">
        <v>-5</v>
      </c>
      <c r="I18" s="2">
        <v>2600</v>
      </c>
      <c r="J18" s="2">
        <v>600</v>
      </c>
      <c r="K18" s="2">
        <v>98</v>
      </c>
      <c r="M18" s="2">
        <v>15</v>
      </c>
      <c r="N18" s="2" t="s">
        <v>1418</v>
      </c>
      <c r="O18" s="2" t="s">
        <v>1419</v>
      </c>
    </row>
    <row r="19" spans="1:16" ht="40.799999999999997" x14ac:dyDescent="0.25">
      <c r="A19" s="2">
        <v>1</v>
      </c>
      <c r="B19" s="2">
        <v>225</v>
      </c>
      <c r="C19" s="4">
        <v>36733</v>
      </c>
      <c r="D19" s="17" t="s">
        <v>1612</v>
      </c>
      <c r="E19" s="2" t="s">
        <v>1410</v>
      </c>
      <c r="F19" s="2" t="s">
        <v>1412</v>
      </c>
      <c r="G19" s="2">
        <v>4</v>
      </c>
      <c r="H19" s="2">
        <v>-4.2</v>
      </c>
      <c r="I19" s="2">
        <v>1016</v>
      </c>
      <c r="J19" s="2">
        <v>410</v>
      </c>
      <c r="K19" s="2">
        <v>124</v>
      </c>
      <c r="N19" s="2" t="s">
        <v>1420</v>
      </c>
      <c r="O19" s="2" t="s">
        <v>1421</v>
      </c>
    </row>
    <row r="20" spans="1:16" ht="30.6" x14ac:dyDescent="0.25">
      <c r="A20" s="2">
        <v>1</v>
      </c>
      <c r="B20" s="2">
        <v>226</v>
      </c>
      <c r="C20" s="4">
        <v>36746</v>
      </c>
      <c r="D20" s="17" t="s">
        <v>1612</v>
      </c>
      <c r="E20" s="2" t="s">
        <v>1413</v>
      </c>
      <c r="F20" s="2" t="s">
        <v>1414</v>
      </c>
      <c r="G20" s="2" t="s">
        <v>1415</v>
      </c>
      <c r="H20" s="2">
        <v>-4</v>
      </c>
      <c r="J20" s="2">
        <v>60</v>
      </c>
      <c r="K20" s="2">
        <v>100</v>
      </c>
      <c r="N20" s="2" t="s">
        <v>1423</v>
      </c>
      <c r="O20" s="2" t="s">
        <v>1424</v>
      </c>
      <c r="P20" s="2" t="s">
        <v>1422</v>
      </c>
    </row>
    <row r="21" spans="1:16" ht="40.799999999999997" x14ac:dyDescent="0.25">
      <c r="A21" s="2">
        <v>1</v>
      </c>
      <c r="B21" s="2">
        <v>227</v>
      </c>
      <c r="C21" s="4">
        <v>36750</v>
      </c>
      <c r="D21" s="17" t="s">
        <v>1612</v>
      </c>
      <c r="E21" s="2" t="s">
        <v>629</v>
      </c>
      <c r="F21" s="2" t="s">
        <v>1409</v>
      </c>
      <c r="G21" s="2">
        <v>5</v>
      </c>
      <c r="H21" s="2">
        <v>-8.6999999999999993</v>
      </c>
      <c r="I21" s="2">
        <v>2070</v>
      </c>
      <c r="J21" s="2">
        <v>867</v>
      </c>
      <c r="K21" s="2">
        <v>130</v>
      </c>
      <c r="M21" s="2">
        <v>25</v>
      </c>
      <c r="N21" s="2" t="s">
        <v>630</v>
      </c>
      <c r="O21" s="2" t="s">
        <v>833</v>
      </c>
    </row>
    <row r="22" spans="1:16" ht="30.6" x14ac:dyDescent="0.25">
      <c r="A22" s="2">
        <v>1</v>
      </c>
      <c r="B22" s="2">
        <v>228</v>
      </c>
      <c r="C22" s="4">
        <v>36751</v>
      </c>
      <c r="D22" s="17" t="s">
        <v>631</v>
      </c>
      <c r="E22" s="2" t="s">
        <v>629</v>
      </c>
      <c r="G22" s="2">
        <v>1</v>
      </c>
      <c r="H22" s="2">
        <v>-8.8000000000000007</v>
      </c>
      <c r="K22" s="2">
        <v>10</v>
      </c>
      <c r="N22" s="2" t="s">
        <v>632</v>
      </c>
      <c r="O22" s="2" t="s">
        <v>633</v>
      </c>
      <c r="P22" s="2" t="s">
        <v>834</v>
      </c>
    </row>
    <row r="23" spans="1:16" ht="30.6" x14ac:dyDescent="0.25">
      <c r="A23" s="2">
        <v>1</v>
      </c>
      <c r="B23" s="2">
        <v>229</v>
      </c>
      <c r="C23" s="4">
        <v>36751</v>
      </c>
      <c r="D23" s="17" t="s">
        <v>631</v>
      </c>
      <c r="E23" s="2" t="s">
        <v>629</v>
      </c>
      <c r="G23" s="2">
        <v>5</v>
      </c>
      <c r="H23" s="2">
        <v>-8</v>
      </c>
      <c r="I23" s="2">
        <v>1675</v>
      </c>
      <c r="J23" s="2">
        <v>480</v>
      </c>
      <c r="K23" s="2">
        <v>91</v>
      </c>
      <c r="N23" s="2" t="s">
        <v>632</v>
      </c>
      <c r="O23" s="2" t="s">
        <v>634</v>
      </c>
    </row>
    <row r="24" spans="1:16" ht="20.399999999999999" x14ac:dyDescent="0.25">
      <c r="A24" s="2">
        <v>1</v>
      </c>
      <c r="B24" s="2">
        <v>230</v>
      </c>
      <c r="C24" s="4">
        <v>36751</v>
      </c>
      <c r="D24" s="17" t="s">
        <v>667</v>
      </c>
      <c r="E24" s="2" t="s">
        <v>629</v>
      </c>
      <c r="G24" s="2">
        <v>1</v>
      </c>
      <c r="H24" s="2">
        <v>-9.3000000000000007</v>
      </c>
      <c r="K24" s="2">
        <v>10</v>
      </c>
      <c r="N24" s="2" t="s">
        <v>632</v>
      </c>
      <c r="O24" s="2" t="s">
        <v>835</v>
      </c>
      <c r="P24" s="2" t="s">
        <v>834</v>
      </c>
    </row>
    <row r="25" spans="1:16" ht="61.2" x14ac:dyDescent="0.25">
      <c r="A25" s="2">
        <v>1</v>
      </c>
      <c r="B25" s="2">
        <v>231</v>
      </c>
      <c r="C25" s="4">
        <v>36752</v>
      </c>
      <c r="D25" s="17" t="s">
        <v>1612</v>
      </c>
      <c r="E25" s="2" t="s">
        <v>635</v>
      </c>
      <c r="F25" s="2" t="s">
        <v>636</v>
      </c>
      <c r="G25" s="2">
        <v>4.2</v>
      </c>
      <c r="H25" s="2">
        <v>-5</v>
      </c>
      <c r="I25" s="2">
        <v>1704</v>
      </c>
      <c r="J25" s="2">
        <v>301</v>
      </c>
      <c r="K25" s="2">
        <v>139</v>
      </c>
      <c r="M25" s="2">
        <v>17</v>
      </c>
      <c r="N25" s="2" t="s">
        <v>637</v>
      </c>
      <c r="O25" s="2" t="s">
        <v>836</v>
      </c>
    </row>
    <row r="26" spans="1:16" ht="51" x14ac:dyDescent="0.25">
      <c r="A26" s="2">
        <v>1</v>
      </c>
      <c r="B26" s="2">
        <v>232</v>
      </c>
      <c r="C26" s="4">
        <v>36753</v>
      </c>
      <c r="D26" s="17" t="s">
        <v>1612</v>
      </c>
      <c r="E26" s="2" t="s">
        <v>629</v>
      </c>
      <c r="F26" s="2" t="s">
        <v>638</v>
      </c>
      <c r="G26" s="2">
        <v>5</v>
      </c>
      <c r="H26" s="2">
        <v>-4.5</v>
      </c>
      <c r="I26" s="2">
        <v>1892</v>
      </c>
      <c r="J26" s="2">
        <v>685</v>
      </c>
      <c r="K26" s="2">
        <v>91</v>
      </c>
      <c r="M26" s="2">
        <v>17</v>
      </c>
      <c r="N26" s="2" t="s">
        <v>632</v>
      </c>
      <c r="O26" s="2" t="s">
        <v>639</v>
      </c>
      <c r="P26" s="2" t="s">
        <v>837</v>
      </c>
    </row>
    <row r="27" spans="1:16" ht="40.799999999999997" x14ac:dyDescent="0.25">
      <c r="A27" s="2">
        <v>1</v>
      </c>
      <c r="B27" s="2">
        <v>233</v>
      </c>
      <c r="C27" s="4">
        <v>36753</v>
      </c>
      <c r="D27" s="17" t="s">
        <v>1612</v>
      </c>
      <c r="E27" s="2" t="s">
        <v>629</v>
      </c>
      <c r="F27" s="2" t="s">
        <v>640</v>
      </c>
      <c r="G27" s="2">
        <v>3.5</v>
      </c>
      <c r="H27" s="2">
        <v>-12</v>
      </c>
      <c r="I27" s="2">
        <v>1736</v>
      </c>
      <c r="J27" s="2">
        <v>530</v>
      </c>
      <c r="K27" s="2">
        <v>85</v>
      </c>
      <c r="N27" s="2" t="s">
        <v>632</v>
      </c>
      <c r="O27" s="2" t="s">
        <v>838</v>
      </c>
      <c r="P27" s="2" t="s">
        <v>839</v>
      </c>
    </row>
    <row r="28" spans="1:16" ht="30.6" x14ac:dyDescent="0.25">
      <c r="A28" s="2">
        <v>1</v>
      </c>
      <c r="B28" s="2">
        <v>234</v>
      </c>
      <c r="C28" s="4">
        <v>36754</v>
      </c>
      <c r="D28" s="17" t="s">
        <v>1612</v>
      </c>
      <c r="E28" s="2" t="s">
        <v>629</v>
      </c>
      <c r="K28" s="2">
        <v>10</v>
      </c>
      <c r="N28" s="2" t="s">
        <v>632</v>
      </c>
      <c r="O28" s="2" t="s">
        <v>641</v>
      </c>
    </row>
    <row r="29" spans="1:16" ht="20.399999999999999" x14ac:dyDescent="0.25">
      <c r="A29" s="2">
        <v>1</v>
      </c>
      <c r="B29" s="2">
        <v>235</v>
      </c>
      <c r="C29" s="4">
        <v>36754</v>
      </c>
      <c r="D29" s="17" t="s">
        <v>642</v>
      </c>
      <c r="E29" s="2" t="s">
        <v>629</v>
      </c>
      <c r="K29" s="2">
        <v>10</v>
      </c>
      <c r="N29" s="2" t="s">
        <v>632</v>
      </c>
      <c r="O29" s="2" t="s">
        <v>643</v>
      </c>
      <c r="P29" s="2" t="s">
        <v>840</v>
      </c>
    </row>
    <row r="30" spans="1:16" ht="30.6" x14ac:dyDescent="0.25">
      <c r="A30" s="2">
        <v>1</v>
      </c>
      <c r="B30" s="2">
        <v>236</v>
      </c>
      <c r="C30" s="4">
        <v>36755</v>
      </c>
      <c r="D30" s="17" t="s">
        <v>1612</v>
      </c>
      <c r="E30" s="2" t="s">
        <v>629</v>
      </c>
      <c r="K30" s="2">
        <v>10</v>
      </c>
      <c r="N30" s="2" t="s">
        <v>632</v>
      </c>
      <c r="O30" s="2" t="s">
        <v>841</v>
      </c>
    </row>
    <row r="31" spans="1:16" ht="30.6" x14ac:dyDescent="0.25">
      <c r="A31" s="2">
        <v>1</v>
      </c>
      <c r="B31" s="2">
        <v>237</v>
      </c>
      <c r="C31" s="4">
        <v>36756</v>
      </c>
      <c r="D31" s="17" t="s">
        <v>1612</v>
      </c>
      <c r="E31" s="2" t="s">
        <v>644</v>
      </c>
      <c r="K31" s="2">
        <v>5</v>
      </c>
      <c r="N31" s="2" t="s">
        <v>645</v>
      </c>
      <c r="O31" s="2" t="s">
        <v>646</v>
      </c>
    </row>
    <row r="32" spans="1:16" ht="30.6" x14ac:dyDescent="0.25">
      <c r="A32" s="2">
        <v>1</v>
      </c>
      <c r="B32" s="2">
        <v>238</v>
      </c>
      <c r="C32" s="4">
        <v>36763</v>
      </c>
      <c r="D32" s="17" t="s">
        <v>1612</v>
      </c>
      <c r="E32" s="2" t="s">
        <v>748</v>
      </c>
      <c r="F32" s="2" t="s">
        <v>986</v>
      </c>
      <c r="K32" s="2">
        <v>20</v>
      </c>
      <c r="N32" s="2" t="s">
        <v>987</v>
      </c>
      <c r="O32" s="2" t="s">
        <v>988</v>
      </c>
    </row>
    <row r="33" spans="1:16" ht="30.6" x14ac:dyDescent="0.25">
      <c r="A33" s="2">
        <v>1</v>
      </c>
      <c r="B33" s="2">
        <v>239</v>
      </c>
      <c r="C33" s="4">
        <v>36764</v>
      </c>
      <c r="D33" s="17" t="s">
        <v>1612</v>
      </c>
      <c r="E33" s="2" t="s">
        <v>748</v>
      </c>
      <c r="F33" s="2" t="s">
        <v>989</v>
      </c>
      <c r="K33" s="2">
        <v>5</v>
      </c>
      <c r="N33" s="2" t="s">
        <v>990</v>
      </c>
      <c r="O33" s="2" t="s">
        <v>991</v>
      </c>
    </row>
    <row r="34" spans="1:16" ht="40.799999999999997" x14ac:dyDescent="0.25">
      <c r="A34" s="2">
        <v>1</v>
      </c>
      <c r="B34" s="2">
        <v>240</v>
      </c>
      <c r="C34" s="4">
        <v>36765</v>
      </c>
      <c r="D34" s="17" t="s">
        <v>1612</v>
      </c>
      <c r="E34" s="2" t="s">
        <v>1560</v>
      </c>
      <c r="F34" s="2" t="s">
        <v>992</v>
      </c>
      <c r="G34" s="2">
        <v>3</v>
      </c>
      <c r="H34" s="2">
        <v>-4</v>
      </c>
      <c r="I34" s="2">
        <v>600</v>
      </c>
      <c r="J34" s="2">
        <v>300</v>
      </c>
      <c r="K34" s="2">
        <v>30</v>
      </c>
      <c r="N34" s="2" t="s">
        <v>993</v>
      </c>
      <c r="O34" s="2" t="s">
        <v>994</v>
      </c>
    </row>
    <row r="35" spans="1:16" ht="30.6" x14ac:dyDescent="0.25">
      <c r="A35" s="2">
        <v>1</v>
      </c>
      <c r="B35" s="2">
        <v>241</v>
      </c>
      <c r="C35" s="4">
        <v>36777</v>
      </c>
      <c r="D35" s="17" t="s">
        <v>1612</v>
      </c>
      <c r="E35" s="2" t="s">
        <v>1620</v>
      </c>
      <c r="F35" s="2" t="s">
        <v>1450</v>
      </c>
      <c r="G35" s="2">
        <v>2</v>
      </c>
      <c r="H35" s="2">
        <v>-6</v>
      </c>
      <c r="I35" s="2">
        <v>1780</v>
      </c>
      <c r="J35" s="2">
        <v>0</v>
      </c>
      <c r="K35" s="2">
        <v>23</v>
      </c>
      <c r="N35" s="2" t="s">
        <v>1453</v>
      </c>
      <c r="O35" s="2" t="s">
        <v>1454</v>
      </c>
    </row>
    <row r="36" spans="1:16" ht="30.6" x14ac:dyDescent="0.25">
      <c r="A36" s="2">
        <v>1</v>
      </c>
      <c r="B36" s="2">
        <v>242</v>
      </c>
      <c r="C36" s="4">
        <v>36777</v>
      </c>
      <c r="D36" s="17" t="s">
        <v>1612</v>
      </c>
      <c r="E36" s="2" t="s">
        <v>1620</v>
      </c>
      <c r="F36" s="2" t="s">
        <v>1450</v>
      </c>
      <c r="G36" s="2">
        <v>3.8</v>
      </c>
      <c r="H36" s="2">
        <v>-5</v>
      </c>
      <c r="I36" s="2">
        <v>1780</v>
      </c>
      <c r="J36" s="2">
        <v>0</v>
      </c>
      <c r="K36" s="2">
        <v>122</v>
      </c>
      <c r="N36" s="2" t="s">
        <v>1455</v>
      </c>
      <c r="O36" s="2" t="s">
        <v>1456</v>
      </c>
    </row>
    <row r="37" spans="1:16" ht="30.6" x14ac:dyDescent="0.25">
      <c r="A37" s="2">
        <v>1</v>
      </c>
      <c r="B37" s="2">
        <v>243</v>
      </c>
      <c r="C37" s="4">
        <v>36778</v>
      </c>
      <c r="D37" s="17" t="s">
        <v>1612</v>
      </c>
      <c r="E37" s="2" t="s">
        <v>1620</v>
      </c>
      <c r="F37" s="2" t="s">
        <v>1451</v>
      </c>
      <c r="G37" s="2">
        <v>2</v>
      </c>
      <c r="H37" s="2">
        <v>-4</v>
      </c>
      <c r="I37" s="2">
        <v>1780</v>
      </c>
      <c r="J37" s="2">
        <v>0</v>
      </c>
      <c r="K37" s="2">
        <v>17</v>
      </c>
      <c r="N37" s="2" t="s">
        <v>1457</v>
      </c>
      <c r="O37" s="2" t="s">
        <v>1458</v>
      </c>
    </row>
    <row r="38" spans="1:16" ht="40.799999999999997" x14ac:dyDescent="0.25">
      <c r="A38" s="2">
        <v>1</v>
      </c>
      <c r="B38" s="2">
        <v>244</v>
      </c>
      <c r="C38" s="4">
        <v>36778</v>
      </c>
      <c r="D38" s="17" t="s">
        <v>1612</v>
      </c>
      <c r="E38" s="2" t="s">
        <v>1620</v>
      </c>
      <c r="F38" s="2" t="s">
        <v>1451</v>
      </c>
      <c r="G38" s="2">
        <v>4</v>
      </c>
      <c r="H38" s="2">
        <v>-4</v>
      </c>
      <c r="I38" s="2">
        <v>2473</v>
      </c>
      <c r="J38" s="2">
        <v>690</v>
      </c>
      <c r="K38" s="2">
        <v>181</v>
      </c>
      <c r="M38" s="2">
        <v>15</v>
      </c>
      <c r="N38" s="2" t="s">
        <v>1459</v>
      </c>
      <c r="O38" s="2" t="s">
        <v>1460</v>
      </c>
    </row>
    <row r="39" spans="1:16" ht="30.6" x14ac:dyDescent="0.25">
      <c r="A39" s="2">
        <v>1</v>
      </c>
      <c r="B39" s="2">
        <v>245</v>
      </c>
      <c r="C39" s="4">
        <v>36779</v>
      </c>
      <c r="D39" s="17" t="s">
        <v>1612</v>
      </c>
      <c r="E39" s="2" t="s">
        <v>1620</v>
      </c>
      <c r="F39" s="2" t="s">
        <v>1452</v>
      </c>
      <c r="G39" s="2">
        <v>2</v>
      </c>
      <c r="H39" s="2">
        <v>-5</v>
      </c>
      <c r="I39" s="2">
        <v>2220</v>
      </c>
      <c r="J39" s="2">
        <v>0</v>
      </c>
      <c r="K39" s="2">
        <v>20</v>
      </c>
      <c r="N39" s="2" t="s">
        <v>1461</v>
      </c>
      <c r="O39" s="2" t="s">
        <v>1462</v>
      </c>
    </row>
    <row r="40" spans="1:16" ht="30.6" x14ac:dyDescent="0.25">
      <c r="A40" s="2">
        <v>1</v>
      </c>
      <c r="B40" s="2">
        <v>246</v>
      </c>
      <c r="C40" s="4">
        <v>36779</v>
      </c>
      <c r="D40" s="17" t="s">
        <v>1612</v>
      </c>
      <c r="E40" s="2" t="s">
        <v>1620</v>
      </c>
      <c r="F40" s="2" t="s">
        <v>1452</v>
      </c>
      <c r="G40" s="2">
        <v>3.2</v>
      </c>
      <c r="H40" s="2">
        <v>-10</v>
      </c>
      <c r="I40" s="2">
        <v>2403</v>
      </c>
      <c r="J40" s="2">
        <v>620</v>
      </c>
      <c r="K40" s="2">
        <v>103</v>
      </c>
      <c r="N40" s="2" t="s">
        <v>1436</v>
      </c>
      <c r="O40" s="2" t="s">
        <v>1463</v>
      </c>
      <c r="P40" s="2" t="s">
        <v>1466</v>
      </c>
    </row>
    <row r="41" spans="1:16" ht="30.6" x14ac:dyDescent="0.25">
      <c r="A41" s="2">
        <v>1</v>
      </c>
      <c r="B41" s="2">
        <v>247</v>
      </c>
      <c r="C41" s="4">
        <v>36779</v>
      </c>
      <c r="D41" s="17" t="s">
        <v>1612</v>
      </c>
      <c r="E41" s="2" t="s">
        <v>1620</v>
      </c>
      <c r="F41" s="2" t="s">
        <v>1452</v>
      </c>
      <c r="G41" s="2">
        <v>1</v>
      </c>
      <c r="H41" s="2">
        <v>-5</v>
      </c>
      <c r="I41" s="2">
        <v>1894</v>
      </c>
      <c r="J41" s="2">
        <v>0</v>
      </c>
      <c r="K41" s="2">
        <v>28</v>
      </c>
      <c r="N41" s="2" t="s">
        <v>1464</v>
      </c>
      <c r="O41" s="2" t="s">
        <v>1465</v>
      </c>
    </row>
    <row r="42" spans="1:16" ht="30.6" x14ac:dyDescent="0.25">
      <c r="A42" s="2">
        <v>1</v>
      </c>
      <c r="B42" s="2">
        <v>248</v>
      </c>
      <c r="C42" s="4">
        <v>36791</v>
      </c>
      <c r="D42" s="17" t="s">
        <v>1612</v>
      </c>
      <c r="E42" s="2" t="s">
        <v>1550</v>
      </c>
      <c r="G42" s="2">
        <v>1</v>
      </c>
      <c r="H42" s="2">
        <v>-6</v>
      </c>
      <c r="I42" s="2">
        <v>1655</v>
      </c>
      <c r="K42" s="2">
        <v>13</v>
      </c>
    </row>
    <row r="43" spans="1:16" ht="30.6" x14ac:dyDescent="0.25">
      <c r="A43" s="2">
        <v>1</v>
      </c>
      <c r="B43" s="2">
        <v>249</v>
      </c>
      <c r="C43" s="4">
        <v>36791</v>
      </c>
      <c r="D43" s="17" t="s">
        <v>1612</v>
      </c>
      <c r="E43" s="2" t="s">
        <v>1550</v>
      </c>
      <c r="G43" s="2">
        <v>4</v>
      </c>
      <c r="H43" s="2">
        <v>-4</v>
      </c>
      <c r="I43" s="2">
        <v>1655</v>
      </c>
      <c r="K43" s="2">
        <v>39</v>
      </c>
    </row>
    <row r="44" spans="1:16" ht="30.6" x14ac:dyDescent="0.25">
      <c r="A44" s="2">
        <v>1</v>
      </c>
      <c r="B44" s="2">
        <v>250</v>
      </c>
      <c r="C44" s="4">
        <v>36792</v>
      </c>
      <c r="D44" s="17" t="s">
        <v>1612</v>
      </c>
      <c r="E44" s="2" t="s">
        <v>1650</v>
      </c>
      <c r="G44" s="2">
        <v>0</v>
      </c>
      <c r="H44" s="2">
        <v>-3</v>
      </c>
      <c r="I44" s="2">
        <v>1100</v>
      </c>
      <c r="K44" s="2">
        <v>12</v>
      </c>
    </row>
    <row r="45" spans="1:16" ht="30.6" x14ac:dyDescent="0.25">
      <c r="A45" s="2">
        <v>1</v>
      </c>
      <c r="B45" s="2">
        <v>251</v>
      </c>
      <c r="C45" s="4">
        <v>36792</v>
      </c>
      <c r="D45" s="17" t="s">
        <v>1612</v>
      </c>
      <c r="E45" s="2" t="s">
        <v>1650</v>
      </c>
      <c r="G45" s="2">
        <v>0</v>
      </c>
      <c r="H45" s="2">
        <v>-4</v>
      </c>
      <c r="I45" s="2">
        <v>1100</v>
      </c>
      <c r="K45" s="2">
        <v>14</v>
      </c>
    </row>
    <row r="46" spans="1:16" ht="30.6" x14ac:dyDescent="0.25">
      <c r="A46" s="2">
        <v>1</v>
      </c>
      <c r="B46" s="2">
        <v>252</v>
      </c>
      <c r="C46" s="4">
        <v>36824</v>
      </c>
      <c r="D46" s="17" t="s">
        <v>1612</v>
      </c>
      <c r="E46" s="2" t="s">
        <v>1650</v>
      </c>
      <c r="G46" s="2">
        <v>2</v>
      </c>
      <c r="H46" s="2">
        <v>-4</v>
      </c>
      <c r="I46" s="2">
        <v>1100</v>
      </c>
      <c r="K46" s="2">
        <v>20</v>
      </c>
    </row>
    <row r="47" spans="1:16" ht="30.6" x14ac:dyDescent="0.25">
      <c r="A47" s="2">
        <v>1</v>
      </c>
      <c r="B47" s="2">
        <v>253</v>
      </c>
      <c r="C47" s="4">
        <v>36824</v>
      </c>
      <c r="D47" s="17" t="s">
        <v>1612</v>
      </c>
      <c r="E47" s="2" t="s">
        <v>1650</v>
      </c>
      <c r="G47" s="2">
        <v>0</v>
      </c>
      <c r="H47" s="2">
        <v>-5</v>
      </c>
      <c r="I47" s="2">
        <v>1100</v>
      </c>
      <c r="K47" s="2">
        <v>10</v>
      </c>
    </row>
    <row r="48" spans="1:16" ht="30.6" x14ac:dyDescent="0.25">
      <c r="A48" s="2">
        <v>1</v>
      </c>
      <c r="B48" s="2">
        <v>254</v>
      </c>
      <c r="C48" s="4">
        <v>36827</v>
      </c>
      <c r="D48" s="17" t="s">
        <v>1612</v>
      </c>
      <c r="E48" s="2" t="s">
        <v>1628</v>
      </c>
      <c r="G48" s="2">
        <v>1</v>
      </c>
      <c r="H48" s="2">
        <v>-6</v>
      </c>
      <c r="I48" s="2">
        <v>1210</v>
      </c>
      <c r="K48" s="2">
        <v>15</v>
      </c>
    </row>
    <row r="49" spans="1:16" ht="51" x14ac:dyDescent="0.25">
      <c r="A49" s="2">
        <v>1</v>
      </c>
      <c r="B49" s="2">
        <v>255</v>
      </c>
      <c r="C49" s="4">
        <v>36841</v>
      </c>
      <c r="D49" s="17" t="s">
        <v>642</v>
      </c>
      <c r="E49" s="2" t="s">
        <v>1650</v>
      </c>
      <c r="F49" s="2" t="s">
        <v>1468</v>
      </c>
      <c r="G49" s="2">
        <v>1</v>
      </c>
      <c r="H49" s="2">
        <v>-8</v>
      </c>
      <c r="I49" s="2">
        <v>1900</v>
      </c>
      <c r="K49" s="2">
        <v>17</v>
      </c>
      <c r="N49" s="2" t="s">
        <v>1469</v>
      </c>
      <c r="O49" s="2" t="s">
        <v>1473</v>
      </c>
      <c r="P49" s="2" t="s">
        <v>1470</v>
      </c>
    </row>
    <row r="50" spans="1:16" ht="30.6" x14ac:dyDescent="0.25">
      <c r="A50" s="2">
        <v>1</v>
      </c>
      <c r="B50" s="2">
        <v>256</v>
      </c>
      <c r="C50" s="4">
        <v>36841</v>
      </c>
      <c r="D50" s="17" t="s">
        <v>642</v>
      </c>
      <c r="E50" s="2" t="s">
        <v>1650</v>
      </c>
      <c r="F50" s="2" t="s">
        <v>1468</v>
      </c>
      <c r="G50" s="2">
        <v>1</v>
      </c>
      <c r="H50" s="2">
        <v>-3</v>
      </c>
      <c r="I50" s="2">
        <v>1200</v>
      </c>
      <c r="K50" s="2">
        <v>6</v>
      </c>
      <c r="N50" s="2" t="s">
        <v>1471</v>
      </c>
      <c r="O50" s="2" t="s">
        <v>1472</v>
      </c>
    </row>
    <row r="51" spans="1:16" ht="30.6" x14ac:dyDescent="0.25">
      <c r="A51" s="2">
        <v>1</v>
      </c>
      <c r="B51" s="2">
        <v>257</v>
      </c>
      <c r="C51" s="4">
        <v>36854</v>
      </c>
      <c r="D51" s="17" t="s">
        <v>642</v>
      </c>
      <c r="E51" s="2" t="s">
        <v>1474</v>
      </c>
      <c r="F51" s="2" t="s">
        <v>1475</v>
      </c>
      <c r="O51" s="2" t="s">
        <v>1476</v>
      </c>
    </row>
    <row r="52" spans="1:16" ht="20.399999999999999" x14ac:dyDescent="0.25">
      <c r="A52" s="2">
        <v>1</v>
      </c>
      <c r="B52" s="2">
        <v>258</v>
      </c>
      <c r="C52" s="4">
        <v>36869</v>
      </c>
      <c r="D52" s="17" t="s">
        <v>642</v>
      </c>
      <c r="E52" s="2" t="s">
        <v>1650</v>
      </c>
      <c r="F52" s="2" t="s">
        <v>645</v>
      </c>
      <c r="G52" s="2">
        <v>0</v>
      </c>
      <c r="K52" s="2">
        <v>6</v>
      </c>
      <c r="N52" s="2" t="s">
        <v>1428</v>
      </c>
    </row>
    <row r="53" spans="1:16" ht="20.399999999999999" x14ac:dyDescent="0.25">
      <c r="A53" s="2">
        <v>1</v>
      </c>
      <c r="B53" s="2">
        <v>259</v>
      </c>
      <c r="C53" s="4">
        <v>36869</v>
      </c>
      <c r="D53" s="17" t="s">
        <v>642</v>
      </c>
      <c r="E53" s="2" t="s">
        <v>1650</v>
      </c>
      <c r="F53" s="2" t="s">
        <v>645</v>
      </c>
      <c r="G53" s="2">
        <v>0</v>
      </c>
      <c r="K53" s="2">
        <v>6</v>
      </c>
      <c r="N53" s="2" t="s">
        <v>1429</v>
      </c>
      <c r="O53" s="2" t="s">
        <v>1432</v>
      </c>
    </row>
    <row r="54" spans="1:16" ht="20.399999999999999" x14ac:dyDescent="0.25">
      <c r="A54" s="2">
        <v>1</v>
      </c>
      <c r="B54" s="2">
        <v>260</v>
      </c>
      <c r="C54" s="4">
        <v>36870</v>
      </c>
      <c r="D54" s="17" t="s">
        <v>642</v>
      </c>
      <c r="E54" s="2" t="s">
        <v>1426</v>
      </c>
      <c r="F54" s="2" t="s">
        <v>645</v>
      </c>
      <c r="G54" s="2">
        <v>0</v>
      </c>
      <c r="K54" s="2">
        <v>2</v>
      </c>
      <c r="N54" s="2" t="s">
        <v>1430</v>
      </c>
      <c r="O54" s="2" t="s">
        <v>1435</v>
      </c>
      <c r="P54" s="2" t="s">
        <v>1433</v>
      </c>
    </row>
    <row r="55" spans="1:16" ht="20.399999999999999" x14ac:dyDescent="0.25">
      <c r="A55" s="2">
        <v>1</v>
      </c>
      <c r="B55" s="2">
        <v>261</v>
      </c>
      <c r="C55" s="4">
        <v>36870</v>
      </c>
      <c r="D55" s="17" t="s">
        <v>642</v>
      </c>
      <c r="E55" s="2" t="s">
        <v>1426</v>
      </c>
      <c r="F55" s="2" t="s">
        <v>1427</v>
      </c>
      <c r="G55" s="2">
        <v>0</v>
      </c>
      <c r="K55" s="2">
        <v>5</v>
      </c>
      <c r="N55" s="2" t="s">
        <v>1431</v>
      </c>
      <c r="O55" s="2" t="s">
        <v>1434</v>
      </c>
    </row>
    <row r="56" spans="1:16" ht="20.399999999999999" x14ac:dyDescent="0.25">
      <c r="A56" s="2">
        <v>1</v>
      </c>
      <c r="B56" s="2">
        <v>262</v>
      </c>
      <c r="C56" s="4">
        <v>36883</v>
      </c>
      <c r="D56" s="17" t="s">
        <v>642</v>
      </c>
      <c r="E56" s="2" t="s">
        <v>1650</v>
      </c>
      <c r="F56" s="2" t="s">
        <v>693</v>
      </c>
      <c r="G56" s="2">
        <v>0</v>
      </c>
      <c r="K56" s="2">
        <v>10</v>
      </c>
      <c r="N56" s="2" t="s">
        <v>695</v>
      </c>
      <c r="O56" s="2" t="s">
        <v>696</v>
      </c>
    </row>
    <row r="57" spans="1:16" ht="20.399999999999999" x14ac:dyDescent="0.25">
      <c r="A57" s="2">
        <v>1</v>
      </c>
      <c r="B57" s="2">
        <v>263</v>
      </c>
      <c r="C57" s="4">
        <v>36885</v>
      </c>
      <c r="D57" s="17" t="s">
        <v>642</v>
      </c>
      <c r="E57" s="2" t="s">
        <v>692</v>
      </c>
      <c r="F57" s="2" t="s">
        <v>694</v>
      </c>
      <c r="G57" s="2">
        <v>4.4000000000000004</v>
      </c>
      <c r="H57" s="2">
        <v>-8</v>
      </c>
      <c r="I57" s="2">
        <v>2090</v>
      </c>
      <c r="J57" s="2">
        <v>300</v>
      </c>
      <c r="K57" s="2">
        <v>116</v>
      </c>
      <c r="M57" s="2">
        <v>18</v>
      </c>
      <c r="N57" s="2" t="s">
        <v>1123</v>
      </c>
      <c r="O57" s="2" t="s">
        <v>601</v>
      </c>
    </row>
  </sheetData>
  <autoFilter ref="A1:P200"/>
  <phoneticPr fontId="0" type="noConversion"/>
  <printOptions gridLines="1"/>
  <pageMargins left="0.19685039370078741" right="0.46" top="0.39" bottom="0.39370078740157483" header="0.51181102362204722" footer="0.39370078740157483"/>
  <pageSetup paperSize="9" scale="91" fitToHeight="8" orientation="landscape" horizontalDpi="4294967292" verticalDpi="300" r:id="rId1"/>
  <headerFooter alignWithMargins="0"/>
  <drawing r:id="rId2"/>
  <legacyDrawing r:id="rId3"/>
  <oleObjects>
    <mc:AlternateContent xmlns:mc="http://schemas.openxmlformats.org/markup-compatibility/2006">
      <mc:Choice Requires="x14">
        <oleObject progId="Document" dvAspect="DVASPECT_ICON" shapeId="15361" r:id="rId4">
          <objectPr defaultSize="0" r:id="rId5">
            <anchor moveWithCells="1">
              <from>
                <xdr:col>14</xdr:col>
                <xdr:colOff>2087880</xdr:colOff>
                <xdr:row>56</xdr:row>
                <xdr:rowOff>106680</xdr:rowOff>
              </from>
              <to>
                <xdr:col>14</xdr:col>
                <xdr:colOff>3025140</xdr:colOff>
                <xdr:row>60</xdr:row>
                <xdr:rowOff>76200</xdr:rowOff>
              </to>
            </anchor>
          </objectPr>
        </oleObject>
      </mc:Choice>
      <mc:Fallback>
        <oleObject progId="Document" dvAspect="DVASPECT_ICON" shapeId="15361" r:id="rId4"/>
      </mc:Fallback>
    </mc:AlternateContent>
  </oleObjec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zoomScaleNormal="100" workbookViewId="0">
      <pane ySplit="1" topLeftCell="A160" activePane="bottomLeft" state="frozenSplit"/>
      <selection activeCell="B1" sqref="B1"/>
      <selection pane="bottomLeft" activeCell="N190" sqref="N175:N190"/>
    </sheetView>
  </sheetViews>
  <sheetFormatPr baseColWidth="10" defaultColWidth="3.5546875" defaultRowHeight="10.199999999999999" x14ac:dyDescent="0.25"/>
  <cols>
    <col min="1" max="1" width="4.109375" style="6" customWidth="1"/>
    <col min="2" max="2" width="3.33203125" style="6" customWidth="1"/>
    <col min="3" max="3" width="9" style="6" customWidth="1"/>
    <col min="4" max="4" width="18.33203125" style="6" customWidth="1"/>
    <col min="5" max="5" width="22.44140625" style="6" customWidth="1"/>
    <col min="6" max="6" width="29.44140625" style="6" hidden="1" customWidth="1"/>
    <col min="7" max="7" width="32.33203125" style="6" hidden="1" customWidth="1"/>
    <col min="8" max="8" width="28.6640625" style="6" hidden="1" customWidth="1"/>
    <col min="9" max="9" width="3.6640625" style="7" customWidth="1"/>
    <col min="10" max="10" width="4.5546875" style="7" customWidth="1"/>
    <col min="11" max="12" width="4.44140625" style="6" customWidth="1"/>
    <col min="13" max="13" width="6" style="6" customWidth="1"/>
    <col min="14" max="14" width="4.5546875" style="6" customWidth="1"/>
    <col min="15" max="16" width="3.44140625" style="6" customWidth="1"/>
    <col min="17" max="17" width="15.44140625" style="6" bestFit="1" customWidth="1"/>
    <col min="18" max="18" width="10.33203125" style="6" hidden="1" customWidth="1"/>
    <col min="19" max="19" width="60.33203125" style="6" customWidth="1"/>
    <col min="20" max="16384" width="3.5546875" style="6"/>
  </cols>
  <sheetData>
    <row r="1" spans="1:19" s="5" customFormat="1" ht="16.5" customHeight="1" x14ac:dyDescent="0.25">
      <c r="A1" s="178"/>
      <c r="B1" s="178" t="s">
        <v>1164</v>
      </c>
      <c r="C1" s="178" t="s">
        <v>1165</v>
      </c>
      <c r="D1" s="178" t="s">
        <v>1166</v>
      </c>
      <c r="E1" s="178" t="s">
        <v>1167</v>
      </c>
      <c r="F1" s="178" t="s">
        <v>1168</v>
      </c>
      <c r="G1" s="178" t="s">
        <v>1169</v>
      </c>
      <c r="H1" s="178" t="s">
        <v>1170</v>
      </c>
      <c r="I1" s="179" t="s">
        <v>1171</v>
      </c>
      <c r="J1" s="179" t="s">
        <v>1172</v>
      </c>
      <c r="K1" s="180" t="s">
        <v>1173</v>
      </c>
      <c r="L1" s="180" t="s">
        <v>1174</v>
      </c>
      <c r="M1" s="180" t="s">
        <v>1180</v>
      </c>
      <c r="N1" s="180" t="s">
        <v>1175</v>
      </c>
      <c r="O1" s="180" t="s">
        <v>1181</v>
      </c>
      <c r="P1" s="180" t="s">
        <v>1182</v>
      </c>
      <c r="Q1" s="178" t="s">
        <v>1176</v>
      </c>
      <c r="R1" s="178" t="s">
        <v>1183</v>
      </c>
      <c r="S1" s="178" t="s">
        <v>1184</v>
      </c>
    </row>
    <row r="2" spans="1:19" ht="16.5" customHeight="1" x14ac:dyDescent="0.25">
      <c r="A2" s="181">
        <v>1</v>
      </c>
      <c r="B2" s="181">
        <v>1</v>
      </c>
      <c r="C2" s="182">
        <v>35302</v>
      </c>
      <c r="D2" s="181"/>
      <c r="E2" s="181" t="s">
        <v>1185</v>
      </c>
      <c r="F2" s="181" t="s">
        <v>1186</v>
      </c>
      <c r="G2" s="181" t="s">
        <v>1187</v>
      </c>
      <c r="H2" s="181" t="s">
        <v>1188</v>
      </c>
      <c r="I2" s="183"/>
      <c r="J2" s="183"/>
      <c r="K2" s="181"/>
      <c r="L2" s="181"/>
      <c r="M2" s="181">
        <v>1200</v>
      </c>
      <c r="N2" s="181">
        <v>12</v>
      </c>
      <c r="O2" s="181">
        <v>1.5</v>
      </c>
      <c r="P2" s="181"/>
      <c r="Q2" s="181"/>
      <c r="R2" s="181"/>
      <c r="S2" s="181" t="s">
        <v>19</v>
      </c>
    </row>
    <row r="3" spans="1:19" ht="16.5" customHeight="1" x14ac:dyDescent="0.25">
      <c r="A3" s="181"/>
      <c r="B3" s="181"/>
      <c r="C3" s="184" t="s">
        <v>1189</v>
      </c>
      <c r="D3" s="185"/>
      <c r="E3" s="185"/>
      <c r="F3" s="185"/>
      <c r="G3" s="185"/>
      <c r="H3" s="181"/>
      <c r="I3" s="183"/>
      <c r="J3" s="183"/>
      <c r="K3" s="181"/>
      <c r="L3" s="181"/>
      <c r="M3" s="181"/>
      <c r="N3" s="181"/>
      <c r="O3" s="181"/>
      <c r="P3" s="181"/>
      <c r="Q3" s="181"/>
      <c r="R3" s="181"/>
      <c r="S3" s="181"/>
    </row>
    <row r="4" spans="1:19" ht="16.5" customHeight="1" x14ac:dyDescent="0.2">
      <c r="A4" s="181"/>
      <c r="B4" s="186"/>
      <c r="C4" s="182">
        <v>35700</v>
      </c>
      <c r="D4" s="181" t="s">
        <v>1190</v>
      </c>
      <c r="E4" s="181" t="s">
        <v>1191</v>
      </c>
      <c r="F4" s="181" t="s">
        <v>1192</v>
      </c>
      <c r="G4" s="181"/>
      <c r="H4" s="181"/>
      <c r="I4" s="183"/>
      <c r="J4" s="183"/>
      <c r="K4" s="181"/>
      <c r="L4" s="181"/>
      <c r="M4" s="181"/>
      <c r="N4" s="181"/>
      <c r="O4" s="181"/>
      <c r="P4" s="181"/>
      <c r="Q4" s="181"/>
      <c r="R4" s="181" t="s">
        <v>1193</v>
      </c>
      <c r="S4" s="181" t="s">
        <v>1194</v>
      </c>
    </row>
    <row r="5" spans="1:19" ht="16.5" customHeight="1" x14ac:dyDescent="0.25">
      <c r="A5" s="181">
        <v>1</v>
      </c>
      <c r="B5" s="181">
        <v>2</v>
      </c>
      <c r="C5" s="182">
        <v>35701</v>
      </c>
      <c r="D5" s="181" t="s">
        <v>1190</v>
      </c>
      <c r="E5" s="181" t="s">
        <v>1195</v>
      </c>
      <c r="F5" s="181" t="s">
        <v>1196</v>
      </c>
      <c r="G5" s="181" t="s">
        <v>1197</v>
      </c>
      <c r="H5" s="181" t="s">
        <v>1198</v>
      </c>
      <c r="I5" s="183"/>
      <c r="J5" s="183"/>
      <c r="K5" s="181"/>
      <c r="L5" s="181"/>
      <c r="M5" s="181">
        <v>400</v>
      </c>
      <c r="N5" s="181">
        <v>4.5</v>
      </c>
      <c r="O5" s="181">
        <v>1.25</v>
      </c>
      <c r="P5" s="181"/>
      <c r="Q5" s="181"/>
      <c r="R5" s="181" t="s">
        <v>1199</v>
      </c>
      <c r="S5" s="181" t="s">
        <v>1200</v>
      </c>
    </row>
    <row r="6" spans="1:19" ht="16.5" customHeight="1" x14ac:dyDescent="0.25">
      <c r="A6" s="181">
        <v>1</v>
      </c>
      <c r="B6" s="181">
        <v>3</v>
      </c>
      <c r="C6" s="182">
        <v>35701</v>
      </c>
      <c r="D6" s="181" t="s">
        <v>1190</v>
      </c>
      <c r="E6" s="181" t="s">
        <v>1191</v>
      </c>
      <c r="F6" s="181" t="s">
        <v>1196</v>
      </c>
      <c r="G6" s="181" t="s">
        <v>1201</v>
      </c>
      <c r="H6" s="181" t="s">
        <v>1198</v>
      </c>
      <c r="I6" s="183"/>
      <c r="J6" s="183"/>
      <c r="K6" s="181"/>
      <c r="L6" s="181"/>
      <c r="M6" s="181">
        <v>400</v>
      </c>
      <c r="N6" s="181">
        <v>4.5</v>
      </c>
      <c r="O6" s="181">
        <v>1.25</v>
      </c>
      <c r="P6" s="181"/>
      <c r="Q6" s="181"/>
      <c r="R6" s="181" t="s">
        <v>1199</v>
      </c>
      <c r="S6" s="181" t="s">
        <v>1202</v>
      </c>
    </row>
    <row r="7" spans="1:19" ht="16.5" customHeight="1" x14ac:dyDescent="0.25">
      <c r="A7" s="181">
        <v>1</v>
      </c>
      <c r="B7" s="181">
        <v>4</v>
      </c>
      <c r="C7" s="182">
        <v>35701</v>
      </c>
      <c r="D7" s="181" t="s">
        <v>1190</v>
      </c>
      <c r="E7" s="181" t="s">
        <v>1191</v>
      </c>
      <c r="F7" s="181" t="s">
        <v>1196</v>
      </c>
      <c r="G7" s="181" t="s">
        <v>1201</v>
      </c>
      <c r="H7" s="181" t="s">
        <v>1198</v>
      </c>
      <c r="I7" s="183"/>
      <c r="J7" s="183"/>
      <c r="K7" s="181"/>
      <c r="L7" s="181"/>
      <c r="M7" s="181">
        <v>400</v>
      </c>
      <c r="N7" s="181">
        <v>4.5</v>
      </c>
      <c r="O7" s="181">
        <v>1.25</v>
      </c>
      <c r="P7" s="181"/>
      <c r="Q7" s="181"/>
      <c r="R7" s="181" t="s">
        <v>1199</v>
      </c>
      <c r="S7" s="181"/>
    </row>
    <row r="8" spans="1:19" ht="16.5" customHeight="1" x14ac:dyDescent="0.25">
      <c r="A8" s="181">
        <v>1</v>
      </c>
      <c r="B8" s="181">
        <v>5</v>
      </c>
      <c r="C8" s="182">
        <v>35702</v>
      </c>
      <c r="D8" s="181" t="s">
        <v>1190</v>
      </c>
      <c r="E8" s="181" t="s">
        <v>1191</v>
      </c>
      <c r="F8" s="181" t="s">
        <v>1203</v>
      </c>
      <c r="G8" s="181" t="s">
        <v>1204</v>
      </c>
      <c r="H8" s="181" t="s">
        <v>1205</v>
      </c>
      <c r="I8" s="183"/>
      <c r="J8" s="183"/>
      <c r="K8" s="181"/>
      <c r="L8" s="181"/>
      <c r="M8" s="181">
        <v>750</v>
      </c>
      <c r="N8" s="181">
        <v>8.5</v>
      </c>
      <c r="O8" s="181">
        <v>1.6</v>
      </c>
      <c r="P8" s="181"/>
      <c r="Q8" s="181" t="s">
        <v>1206</v>
      </c>
      <c r="R8" s="181" t="s">
        <v>1199</v>
      </c>
      <c r="S8" s="181" t="s">
        <v>797</v>
      </c>
    </row>
    <row r="9" spans="1:19" ht="16.5" customHeight="1" x14ac:dyDescent="0.25">
      <c r="A9" s="181">
        <v>1</v>
      </c>
      <c r="B9" s="181">
        <v>6</v>
      </c>
      <c r="C9" s="182">
        <v>35702</v>
      </c>
      <c r="D9" s="181" t="s">
        <v>1190</v>
      </c>
      <c r="E9" s="181" t="s">
        <v>1191</v>
      </c>
      <c r="F9" s="181" t="s">
        <v>798</v>
      </c>
      <c r="G9" s="181" t="s">
        <v>799</v>
      </c>
      <c r="H9" s="181" t="s">
        <v>800</v>
      </c>
      <c r="I9" s="183"/>
      <c r="J9" s="183"/>
      <c r="K9" s="181"/>
      <c r="L9" s="181"/>
      <c r="M9" s="181">
        <v>750</v>
      </c>
      <c r="N9" s="181">
        <v>8.5</v>
      </c>
      <c r="O9" s="181">
        <v>1.6</v>
      </c>
      <c r="P9" s="181"/>
      <c r="Q9" s="181" t="s">
        <v>801</v>
      </c>
      <c r="R9" s="181" t="s">
        <v>1199</v>
      </c>
      <c r="S9" s="181" t="s">
        <v>802</v>
      </c>
    </row>
    <row r="10" spans="1:19" ht="16.5" customHeight="1" x14ac:dyDescent="0.25">
      <c r="A10" s="181">
        <v>1</v>
      </c>
      <c r="B10" s="181">
        <v>7</v>
      </c>
      <c r="C10" s="182">
        <v>35702</v>
      </c>
      <c r="D10" s="181" t="s">
        <v>1190</v>
      </c>
      <c r="E10" s="181" t="s">
        <v>1191</v>
      </c>
      <c r="F10" s="181" t="s">
        <v>803</v>
      </c>
      <c r="G10" s="181" t="s">
        <v>804</v>
      </c>
      <c r="H10" s="181" t="s">
        <v>1485</v>
      </c>
      <c r="I10" s="183"/>
      <c r="J10" s="183"/>
      <c r="K10" s="181"/>
      <c r="L10" s="181"/>
      <c r="M10" s="181">
        <v>400</v>
      </c>
      <c r="N10" s="181">
        <v>60</v>
      </c>
      <c r="O10" s="181">
        <v>1</v>
      </c>
      <c r="P10" s="181"/>
      <c r="Q10" s="181" t="s">
        <v>1495</v>
      </c>
      <c r="R10" s="181" t="s">
        <v>1199</v>
      </c>
      <c r="S10" s="181" t="s">
        <v>1496</v>
      </c>
    </row>
    <row r="11" spans="1:19" ht="16.5" customHeight="1" x14ac:dyDescent="0.25">
      <c r="A11" s="181">
        <v>1</v>
      </c>
      <c r="B11" s="181">
        <v>8</v>
      </c>
      <c r="C11" s="182">
        <v>35703</v>
      </c>
      <c r="D11" s="181" t="s">
        <v>1497</v>
      </c>
      <c r="E11" s="181" t="s">
        <v>1191</v>
      </c>
      <c r="F11" s="181" t="s">
        <v>1498</v>
      </c>
      <c r="G11" s="181" t="s">
        <v>1499</v>
      </c>
      <c r="H11" s="181" t="s">
        <v>1500</v>
      </c>
      <c r="I11" s="183"/>
      <c r="J11" s="183"/>
      <c r="K11" s="181"/>
      <c r="L11" s="181"/>
      <c r="M11" s="181">
        <v>1200</v>
      </c>
      <c r="N11" s="181">
        <v>13.5</v>
      </c>
      <c r="O11" s="181">
        <v>4.75</v>
      </c>
      <c r="P11" s="181"/>
      <c r="Q11" s="181" t="s">
        <v>1501</v>
      </c>
      <c r="R11" s="181" t="s">
        <v>1199</v>
      </c>
      <c r="S11" s="181"/>
    </row>
    <row r="12" spans="1:19" ht="16.5" customHeight="1" x14ac:dyDescent="0.25">
      <c r="A12" s="181">
        <v>1</v>
      </c>
      <c r="B12" s="181">
        <v>9</v>
      </c>
      <c r="C12" s="182">
        <v>35703</v>
      </c>
      <c r="D12" s="181" t="s">
        <v>1497</v>
      </c>
      <c r="E12" s="181" t="s">
        <v>1191</v>
      </c>
      <c r="F12" s="181" t="s">
        <v>1502</v>
      </c>
      <c r="G12" s="181" t="s">
        <v>1503</v>
      </c>
      <c r="H12" s="181" t="s">
        <v>1504</v>
      </c>
      <c r="I12" s="183"/>
      <c r="J12" s="183"/>
      <c r="K12" s="181"/>
      <c r="L12" s="181"/>
      <c r="M12" s="181">
        <v>850</v>
      </c>
      <c r="N12" s="181">
        <v>9.5</v>
      </c>
      <c r="O12" s="181">
        <v>3.5</v>
      </c>
      <c r="P12" s="181"/>
      <c r="Q12" s="181" t="s">
        <v>1505</v>
      </c>
      <c r="R12" s="181" t="s">
        <v>1199</v>
      </c>
      <c r="S12" s="181"/>
    </row>
    <row r="13" spans="1:19" ht="16.5" customHeight="1" x14ac:dyDescent="0.25">
      <c r="A13" s="181">
        <v>1</v>
      </c>
      <c r="B13" s="181">
        <v>10</v>
      </c>
      <c r="C13" s="182">
        <v>35703</v>
      </c>
      <c r="D13" s="181" t="s">
        <v>1497</v>
      </c>
      <c r="E13" s="181" t="s">
        <v>1191</v>
      </c>
      <c r="F13" s="181" t="s">
        <v>1506</v>
      </c>
      <c r="G13" s="181" t="s">
        <v>1507</v>
      </c>
      <c r="H13" s="181" t="s">
        <v>1508</v>
      </c>
      <c r="I13" s="183"/>
      <c r="J13" s="183"/>
      <c r="K13" s="181"/>
      <c r="L13" s="181"/>
      <c r="M13" s="181">
        <v>400</v>
      </c>
      <c r="N13" s="181">
        <v>70</v>
      </c>
      <c r="O13" s="181">
        <v>1.25</v>
      </c>
      <c r="P13" s="181"/>
      <c r="Q13" s="181" t="s">
        <v>1509</v>
      </c>
      <c r="R13" s="181" t="s">
        <v>1510</v>
      </c>
      <c r="S13" s="181" t="s">
        <v>1511</v>
      </c>
    </row>
    <row r="14" spans="1:19" ht="16.5" customHeight="1" x14ac:dyDescent="0.25">
      <c r="A14" s="181">
        <v>1</v>
      </c>
      <c r="B14" s="181">
        <v>11</v>
      </c>
      <c r="C14" s="182">
        <v>35704</v>
      </c>
      <c r="D14" s="181" t="s">
        <v>1497</v>
      </c>
      <c r="E14" s="181" t="s">
        <v>1191</v>
      </c>
      <c r="F14" s="181" t="s">
        <v>1512</v>
      </c>
      <c r="G14" s="181" t="s">
        <v>1513</v>
      </c>
      <c r="H14" s="181" t="s">
        <v>1514</v>
      </c>
      <c r="I14" s="183"/>
      <c r="J14" s="183"/>
      <c r="K14" s="181"/>
      <c r="L14" s="181"/>
      <c r="M14" s="181">
        <v>1200</v>
      </c>
      <c r="N14" s="181">
        <v>13.5</v>
      </c>
      <c r="O14" s="181">
        <v>4.75</v>
      </c>
      <c r="P14" s="181"/>
      <c r="Q14" s="181" t="s">
        <v>1515</v>
      </c>
      <c r="R14" s="181" t="s">
        <v>1516</v>
      </c>
      <c r="S14" s="181" t="s">
        <v>933</v>
      </c>
    </row>
    <row r="15" spans="1:19" ht="16.5" customHeight="1" x14ac:dyDescent="0.25">
      <c r="A15" s="181">
        <v>1</v>
      </c>
      <c r="B15" s="181">
        <v>12</v>
      </c>
      <c r="C15" s="182">
        <v>35704</v>
      </c>
      <c r="D15" s="181" t="s">
        <v>1497</v>
      </c>
      <c r="E15" s="181" t="s">
        <v>1191</v>
      </c>
      <c r="F15" s="181" t="s">
        <v>934</v>
      </c>
      <c r="G15" s="181" t="s">
        <v>935</v>
      </c>
      <c r="H15" s="181" t="s">
        <v>936</v>
      </c>
      <c r="I15" s="183"/>
      <c r="J15" s="183"/>
      <c r="K15" s="181"/>
      <c r="L15" s="181"/>
      <c r="M15" s="181">
        <v>750</v>
      </c>
      <c r="N15" s="181">
        <v>8.5</v>
      </c>
      <c r="O15" s="181">
        <v>1.6</v>
      </c>
      <c r="P15" s="181"/>
      <c r="Q15" s="181"/>
      <c r="R15" s="181" t="s">
        <v>1516</v>
      </c>
      <c r="S15" s="181" t="s">
        <v>937</v>
      </c>
    </row>
    <row r="16" spans="1:19" ht="16.5" customHeight="1" x14ac:dyDescent="0.25">
      <c r="A16" s="181">
        <v>1</v>
      </c>
      <c r="B16" s="181">
        <v>13</v>
      </c>
      <c r="C16" s="182">
        <v>35704</v>
      </c>
      <c r="D16" s="181" t="s">
        <v>1497</v>
      </c>
      <c r="E16" s="181" t="s">
        <v>1191</v>
      </c>
      <c r="F16" s="181" t="s">
        <v>938</v>
      </c>
      <c r="G16" s="181" t="s">
        <v>939</v>
      </c>
      <c r="H16" s="181" t="s">
        <v>940</v>
      </c>
      <c r="I16" s="183"/>
      <c r="J16" s="183"/>
      <c r="K16" s="181"/>
      <c r="L16" s="181"/>
      <c r="M16" s="181">
        <v>400</v>
      </c>
      <c r="N16" s="181">
        <v>90</v>
      </c>
      <c r="O16" s="181">
        <v>1</v>
      </c>
      <c r="P16" s="181"/>
      <c r="Q16" s="181"/>
      <c r="R16" s="181" t="s">
        <v>1510</v>
      </c>
      <c r="S16" s="181" t="s">
        <v>941</v>
      </c>
    </row>
    <row r="17" spans="1:19" ht="16.5" customHeight="1" x14ac:dyDescent="0.2">
      <c r="A17" s="181"/>
      <c r="B17" s="186"/>
      <c r="C17" s="181" t="s">
        <v>942</v>
      </c>
      <c r="D17" s="181"/>
      <c r="E17" s="181"/>
      <c r="F17" s="181" t="s">
        <v>943</v>
      </c>
      <c r="G17" s="181" t="s">
        <v>944</v>
      </c>
      <c r="H17" s="181" t="s">
        <v>945</v>
      </c>
      <c r="I17" s="183"/>
      <c r="J17" s="183"/>
      <c r="K17" s="181"/>
      <c r="L17" s="181"/>
      <c r="M17" s="181"/>
      <c r="N17" s="181"/>
      <c r="O17" s="181"/>
      <c r="P17" s="181"/>
      <c r="Q17" s="181" t="s">
        <v>946</v>
      </c>
      <c r="R17" s="181"/>
      <c r="S17" s="181"/>
    </row>
    <row r="18" spans="1:19" ht="16.5" customHeight="1" x14ac:dyDescent="0.2">
      <c r="A18" s="181"/>
      <c r="B18" s="186"/>
      <c r="C18" s="184" t="s">
        <v>947</v>
      </c>
      <c r="D18" s="185"/>
      <c r="E18" s="185"/>
      <c r="F18" s="185"/>
      <c r="G18" s="185"/>
      <c r="H18" s="181"/>
      <c r="I18" s="183"/>
      <c r="J18" s="183"/>
      <c r="K18" s="181"/>
      <c r="L18" s="181"/>
      <c r="M18" s="181"/>
      <c r="N18" s="181"/>
      <c r="O18" s="181"/>
      <c r="P18" s="181"/>
      <c r="Q18" s="181"/>
      <c r="R18" s="181"/>
      <c r="S18" s="181"/>
    </row>
    <row r="19" spans="1:19" ht="16.5" customHeight="1" x14ac:dyDescent="0.25">
      <c r="A19" s="181">
        <v>1</v>
      </c>
      <c r="B19" s="181">
        <v>14</v>
      </c>
      <c r="C19" s="182">
        <v>35729</v>
      </c>
      <c r="D19" s="181" t="s">
        <v>948</v>
      </c>
      <c r="E19" s="181" t="s">
        <v>1191</v>
      </c>
      <c r="F19" s="181" t="s">
        <v>949</v>
      </c>
      <c r="G19" s="181" t="s">
        <v>950</v>
      </c>
      <c r="H19" s="181" t="s">
        <v>951</v>
      </c>
      <c r="I19" s="183"/>
      <c r="J19" s="183"/>
      <c r="K19" s="181"/>
      <c r="L19" s="181"/>
      <c r="M19" s="181">
        <v>850</v>
      </c>
      <c r="N19" s="181">
        <v>8</v>
      </c>
      <c r="O19" s="181">
        <v>1.75</v>
      </c>
      <c r="P19" s="181"/>
      <c r="Q19" s="181"/>
      <c r="R19" s="181" t="s">
        <v>952</v>
      </c>
      <c r="S19" s="181" t="s">
        <v>953</v>
      </c>
    </row>
    <row r="20" spans="1:19" ht="16.5" customHeight="1" x14ac:dyDescent="0.25">
      <c r="A20" s="181">
        <v>1</v>
      </c>
      <c r="B20" s="181">
        <v>15</v>
      </c>
      <c r="C20" s="182">
        <v>35729</v>
      </c>
      <c r="D20" s="181" t="s">
        <v>1497</v>
      </c>
      <c r="E20" s="181" t="s">
        <v>1191</v>
      </c>
      <c r="F20" s="181" t="s">
        <v>949</v>
      </c>
      <c r="G20" s="181"/>
      <c r="H20" s="181" t="s">
        <v>951</v>
      </c>
      <c r="I20" s="183"/>
      <c r="J20" s="183"/>
      <c r="K20" s="181"/>
      <c r="L20" s="181"/>
      <c r="M20" s="181">
        <v>850</v>
      </c>
      <c r="N20" s="181">
        <v>9.5</v>
      </c>
      <c r="O20" s="181">
        <v>3.5</v>
      </c>
      <c r="P20" s="181"/>
      <c r="Q20" s="181"/>
      <c r="R20" s="181" t="s">
        <v>954</v>
      </c>
      <c r="S20" s="181"/>
    </row>
    <row r="21" spans="1:19" ht="16.5" customHeight="1" x14ac:dyDescent="0.25">
      <c r="A21" s="181">
        <v>1</v>
      </c>
      <c r="B21" s="181">
        <v>16</v>
      </c>
      <c r="C21" s="182">
        <v>35730</v>
      </c>
      <c r="D21" s="181" t="s">
        <v>955</v>
      </c>
      <c r="E21" s="181" t="s">
        <v>1191</v>
      </c>
      <c r="F21" s="181" t="s">
        <v>956</v>
      </c>
      <c r="G21" s="181" t="s">
        <v>957</v>
      </c>
      <c r="H21" s="181" t="s">
        <v>958</v>
      </c>
      <c r="I21" s="183"/>
      <c r="J21" s="183"/>
      <c r="K21" s="181"/>
      <c r="L21" s="181"/>
      <c r="M21" s="181">
        <v>750</v>
      </c>
      <c r="N21" s="181">
        <v>8.5</v>
      </c>
      <c r="O21" s="181">
        <v>1.6</v>
      </c>
      <c r="P21" s="181"/>
      <c r="Q21" s="181"/>
      <c r="R21" s="181" t="s">
        <v>959</v>
      </c>
      <c r="S21" s="181" t="s">
        <v>960</v>
      </c>
    </row>
    <row r="22" spans="1:19" ht="16.5" customHeight="1" x14ac:dyDescent="0.25">
      <c r="A22" s="181">
        <v>1</v>
      </c>
      <c r="B22" s="181">
        <v>17</v>
      </c>
      <c r="C22" s="182">
        <v>35730</v>
      </c>
      <c r="D22" s="181" t="s">
        <v>955</v>
      </c>
      <c r="E22" s="181" t="s">
        <v>1191</v>
      </c>
      <c r="F22" s="181" t="s">
        <v>961</v>
      </c>
      <c r="G22" s="181" t="s">
        <v>962</v>
      </c>
      <c r="H22" s="181" t="s">
        <v>963</v>
      </c>
      <c r="I22" s="183"/>
      <c r="J22" s="183"/>
      <c r="K22" s="181"/>
      <c r="L22" s="181"/>
      <c r="M22" s="181">
        <v>850</v>
      </c>
      <c r="N22" s="181">
        <v>9.5</v>
      </c>
      <c r="O22" s="181">
        <v>1.75</v>
      </c>
      <c r="P22" s="181"/>
      <c r="Q22" s="181" t="s">
        <v>964</v>
      </c>
      <c r="R22" s="181" t="s">
        <v>965</v>
      </c>
      <c r="S22" s="181" t="s">
        <v>966</v>
      </c>
    </row>
    <row r="23" spans="1:19" ht="16.5" customHeight="1" x14ac:dyDescent="0.25">
      <c r="A23" s="181">
        <v>1</v>
      </c>
      <c r="B23" s="181">
        <v>18</v>
      </c>
      <c r="C23" s="182">
        <v>35730</v>
      </c>
      <c r="D23" s="181" t="s">
        <v>955</v>
      </c>
      <c r="E23" s="181" t="s">
        <v>1191</v>
      </c>
      <c r="F23" s="181" t="s">
        <v>967</v>
      </c>
      <c r="G23" s="181" t="s">
        <v>1232</v>
      </c>
      <c r="H23" s="181" t="s">
        <v>1233</v>
      </c>
      <c r="I23" s="183"/>
      <c r="J23" s="183"/>
      <c r="K23" s="181"/>
      <c r="L23" s="181"/>
      <c r="M23" s="181">
        <v>850</v>
      </c>
      <c r="N23" s="181">
        <v>20</v>
      </c>
      <c r="O23" s="181">
        <v>1.75</v>
      </c>
      <c r="P23" s="181"/>
      <c r="Q23" s="181"/>
      <c r="R23" s="181" t="s">
        <v>965</v>
      </c>
      <c r="S23" s="181" t="s">
        <v>1234</v>
      </c>
    </row>
    <row r="24" spans="1:19" ht="16.5" customHeight="1" x14ac:dyDescent="0.25">
      <c r="A24" s="181">
        <v>1</v>
      </c>
      <c r="B24" s="181">
        <v>19</v>
      </c>
      <c r="C24" s="182">
        <v>35730</v>
      </c>
      <c r="D24" s="181" t="s">
        <v>955</v>
      </c>
      <c r="E24" s="181" t="s">
        <v>1191</v>
      </c>
      <c r="F24" s="181" t="s">
        <v>1235</v>
      </c>
      <c r="G24" s="181" t="s">
        <v>1236</v>
      </c>
      <c r="H24" s="181" t="s">
        <v>1237</v>
      </c>
      <c r="I24" s="183"/>
      <c r="J24" s="183"/>
      <c r="K24" s="181"/>
      <c r="L24" s="181"/>
      <c r="M24" s="181">
        <v>400</v>
      </c>
      <c r="N24" s="181">
        <v>30</v>
      </c>
      <c r="O24" s="181">
        <v>1</v>
      </c>
      <c r="P24" s="181"/>
      <c r="Q24" s="181" t="s">
        <v>1238</v>
      </c>
      <c r="R24" s="181" t="s">
        <v>965</v>
      </c>
      <c r="S24" s="181" t="s">
        <v>1239</v>
      </c>
    </row>
    <row r="25" spans="1:19" ht="16.5" customHeight="1" x14ac:dyDescent="0.25">
      <c r="A25" s="181">
        <v>1</v>
      </c>
      <c r="B25" s="181">
        <v>20</v>
      </c>
      <c r="C25" s="182">
        <v>35731</v>
      </c>
      <c r="D25" s="181" t="s">
        <v>955</v>
      </c>
      <c r="E25" s="181" t="s">
        <v>1191</v>
      </c>
      <c r="F25" s="181" t="s">
        <v>1240</v>
      </c>
      <c r="G25" s="181"/>
      <c r="H25" s="181" t="s">
        <v>1241</v>
      </c>
      <c r="I25" s="183"/>
      <c r="J25" s="183"/>
      <c r="K25" s="181"/>
      <c r="L25" s="181"/>
      <c r="M25" s="181">
        <v>850</v>
      </c>
      <c r="N25" s="181">
        <v>9.5</v>
      </c>
      <c r="O25" s="181">
        <v>3.5</v>
      </c>
      <c r="P25" s="181"/>
      <c r="Q25" s="181"/>
      <c r="R25" s="181" t="s">
        <v>965</v>
      </c>
      <c r="S25" s="181" t="s">
        <v>1242</v>
      </c>
    </row>
    <row r="26" spans="1:19" ht="16.5" customHeight="1" x14ac:dyDescent="0.25">
      <c r="A26" s="181">
        <v>1</v>
      </c>
      <c r="B26" s="181">
        <v>21</v>
      </c>
      <c r="C26" s="182">
        <v>35731</v>
      </c>
      <c r="D26" s="181" t="s">
        <v>955</v>
      </c>
      <c r="E26" s="181" t="s">
        <v>1191</v>
      </c>
      <c r="F26" s="181" t="s">
        <v>1243</v>
      </c>
      <c r="G26" s="181"/>
      <c r="H26" s="181" t="s">
        <v>1244</v>
      </c>
      <c r="I26" s="183"/>
      <c r="J26" s="183"/>
      <c r="K26" s="181"/>
      <c r="L26" s="181"/>
      <c r="M26" s="181">
        <v>750</v>
      </c>
      <c r="N26" s="181">
        <v>8.5</v>
      </c>
      <c r="O26" s="181">
        <v>1.6</v>
      </c>
      <c r="P26" s="181"/>
      <c r="Q26" s="181" t="s">
        <v>1245</v>
      </c>
      <c r="R26" s="181" t="s">
        <v>1246</v>
      </c>
      <c r="S26" s="181" t="s">
        <v>1247</v>
      </c>
    </row>
    <row r="27" spans="1:19" ht="16.5" customHeight="1" x14ac:dyDescent="0.25">
      <c r="A27" s="181">
        <v>1</v>
      </c>
      <c r="B27" s="181">
        <v>22</v>
      </c>
      <c r="C27" s="182">
        <v>35731</v>
      </c>
      <c r="D27" s="181" t="s">
        <v>955</v>
      </c>
      <c r="E27" s="181" t="s">
        <v>1191</v>
      </c>
      <c r="F27" s="181" t="s">
        <v>1248</v>
      </c>
      <c r="G27" s="181"/>
      <c r="H27" s="181" t="s">
        <v>1249</v>
      </c>
      <c r="I27" s="183"/>
      <c r="J27" s="183"/>
      <c r="K27" s="181"/>
      <c r="L27" s="181"/>
      <c r="M27" s="181">
        <v>850</v>
      </c>
      <c r="N27" s="181">
        <v>9.5</v>
      </c>
      <c r="O27" s="181">
        <v>3.5</v>
      </c>
      <c r="P27" s="181"/>
      <c r="Q27" s="181" t="s">
        <v>1245</v>
      </c>
      <c r="R27" s="181" t="s">
        <v>1250</v>
      </c>
      <c r="S27" s="181" t="s">
        <v>1251</v>
      </c>
    </row>
    <row r="28" spans="1:19" ht="16.5" customHeight="1" x14ac:dyDescent="0.25">
      <c r="A28" s="181">
        <v>1</v>
      </c>
      <c r="B28" s="181">
        <v>23</v>
      </c>
      <c r="C28" s="182">
        <v>35732</v>
      </c>
      <c r="D28" s="181" t="s">
        <v>955</v>
      </c>
      <c r="E28" s="181" t="s">
        <v>1191</v>
      </c>
      <c r="F28" s="181" t="s">
        <v>1252</v>
      </c>
      <c r="G28" s="181" t="s">
        <v>1253</v>
      </c>
      <c r="H28" s="181" t="s">
        <v>1254</v>
      </c>
      <c r="I28" s="183"/>
      <c r="J28" s="183"/>
      <c r="K28" s="181"/>
      <c r="L28" s="181"/>
      <c r="M28" s="181">
        <v>1200</v>
      </c>
      <c r="N28" s="181">
        <v>25</v>
      </c>
      <c r="O28" s="181">
        <v>4.75</v>
      </c>
      <c r="P28" s="181"/>
      <c r="Q28" s="181" t="s">
        <v>1255</v>
      </c>
      <c r="R28" s="181" t="s">
        <v>1246</v>
      </c>
      <c r="S28" s="181" t="s">
        <v>1256</v>
      </c>
    </row>
    <row r="29" spans="1:19" ht="16.5" customHeight="1" x14ac:dyDescent="0.25">
      <c r="A29" s="181">
        <v>1</v>
      </c>
      <c r="B29" s="181">
        <v>24</v>
      </c>
      <c r="C29" s="182">
        <v>35732</v>
      </c>
      <c r="D29" s="181" t="s">
        <v>955</v>
      </c>
      <c r="E29" s="181" t="s">
        <v>1191</v>
      </c>
      <c r="F29" s="181" t="s">
        <v>1257</v>
      </c>
      <c r="G29" s="181" t="s">
        <v>1258</v>
      </c>
      <c r="H29" s="181" t="s">
        <v>1259</v>
      </c>
      <c r="I29" s="183"/>
      <c r="J29" s="183"/>
      <c r="K29" s="181"/>
      <c r="L29" s="181"/>
      <c r="M29" s="181">
        <v>700</v>
      </c>
      <c r="N29" s="181">
        <v>45</v>
      </c>
      <c r="O29" s="181">
        <v>3.25</v>
      </c>
      <c r="P29" s="181"/>
      <c r="Q29" s="181" t="s">
        <v>1260</v>
      </c>
      <c r="R29" s="181" t="s">
        <v>1246</v>
      </c>
      <c r="S29" s="181" t="s">
        <v>1261</v>
      </c>
    </row>
    <row r="30" spans="1:19" ht="16.5" customHeight="1" x14ac:dyDescent="0.25">
      <c r="A30" s="181">
        <v>1</v>
      </c>
      <c r="B30" s="181">
        <v>25</v>
      </c>
      <c r="C30" s="182">
        <v>35732</v>
      </c>
      <c r="D30" s="181" t="s">
        <v>955</v>
      </c>
      <c r="E30" s="181" t="s">
        <v>1191</v>
      </c>
      <c r="F30" s="181" t="s">
        <v>1262</v>
      </c>
      <c r="G30" s="181" t="s">
        <v>1263</v>
      </c>
      <c r="H30" s="181" t="s">
        <v>1264</v>
      </c>
      <c r="I30" s="183"/>
      <c r="J30" s="183"/>
      <c r="K30" s="181"/>
      <c r="L30" s="181"/>
      <c r="M30" s="181">
        <v>850</v>
      </c>
      <c r="N30" s="181">
        <v>15</v>
      </c>
      <c r="O30" s="181">
        <v>1.75</v>
      </c>
      <c r="P30" s="181"/>
      <c r="Q30" s="181" t="s">
        <v>1265</v>
      </c>
      <c r="R30" s="181" t="s">
        <v>1250</v>
      </c>
      <c r="S30" s="181"/>
    </row>
    <row r="31" spans="1:19" ht="16.5" customHeight="1" x14ac:dyDescent="0.25">
      <c r="A31" s="181">
        <v>1</v>
      </c>
      <c r="B31" s="181">
        <v>26</v>
      </c>
      <c r="C31" s="182">
        <v>35733</v>
      </c>
      <c r="D31" s="181" t="s">
        <v>948</v>
      </c>
      <c r="E31" s="181" t="s">
        <v>1191</v>
      </c>
      <c r="F31" s="181" t="s">
        <v>1266</v>
      </c>
      <c r="G31" s="181" t="s">
        <v>1267</v>
      </c>
      <c r="H31" s="181" t="s">
        <v>1268</v>
      </c>
      <c r="I31" s="183"/>
      <c r="J31" s="183"/>
      <c r="K31" s="181"/>
      <c r="L31" s="181"/>
      <c r="M31" s="181">
        <v>750</v>
      </c>
      <c r="N31" s="181">
        <v>7.5</v>
      </c>
      <c r="O31" s="181">
        <v>1.6</v>
      </c>
      <c r="P31" s="181"/>
      <c r="Q31" s="181" t="s">
        <v>1269</v>
      </c>
      <c r="R31" s="181" t="s">
        <v>1250</v>
      </c>
      <c r="S31" s="181" t="s">
        <v>1270</v>
      </c>
    </row>
    <row r="32" spans="1:19" ht="16.5" customHeight="1" x14ac:dyDescent="0.25">
      <c r="A32" s="181">
        <v>1</v>
      </c>
      <c r="B32" s="181">
        <v>27</v>
      </c>
      <c r="C32" s="182">
        <v>35733</v>
      </c>
      <c r="D32" s="181" t="s">
        <v>948</v>
      </c>
      <c r="E32" s="181" t="s">
        <v>1191</v>
      </c>
      <c r="F32" s="181" t="s">
        <v>1271</v>
      </c>
      <c r="G32" s="181"/>
      <c r="H32" s="181" t="s">
        <v>1272</v>
      </c>
      <c r="I32" s="183"/>
      <c r="J32" s="183"/>
      <c r="K32" s="181"/>
      <c r="L32" s="181"/>
      <c r="M32" s="181">
        <v>850</v>
      </c>
      <c r="N32" s="181">
        <v>9.5</v>
      </c>
      <c r="O32" s="181">
        <v>1.75</v>
      </c>
      <c r="P32" s="181"/>
      <c r="Q32" s="181" t="s">
        <v>1269</v>
      </c>
      <c r="R32" s="181" t="s">
        <v>1250</v>
      </c>
      <c r="S32" s="181" t="s">
        <v>1273</v>
      </c>
    </row>
    <row r="33" spans="1:19" ht="16.5" customHeight="1" x14ac:dyDescent="0.25">
      <c r="A33" s="181">
        <v>1</v>
      </c>
      <c r="B33" s="181">
        <v>28</v>
      </c>
      <c r="C33" s="182">
        <v>35733</v>
      </c>
      <c r="D33" s="181" t="s">
        <v>948</v>
      </c>
      <c r="E33" s="181" t="s">
        <v>1191</v>
      </c>
      <c r="F33" s="181" t="s">
        <v>1271</v>
      </c>
      <c r="G33" s="181"/>
      <c r="H33" s="181" t="s">
        <v>1272</v>
      </c>
      <c r="I33" s="183"/>
      <c r="J33" s="183"/>
      <c r="K33" s="181"/>
      <c r="L33" s="181"/>
      <c r="M33" s="181">
        <v>850</v>
      </c>
      <c r="N33" s="181">
        <v>9.5</v>
      </c>
      <c r="O33" s="181">
        <v>1.75</v>
      </c>
      <c r="P33" s="181"/>
      <c r="Q33" s="181"/>
      <c r="R33" s="181" t="s">
        <v>1250</v>
      </c>
      <c r="S33" s="181"/>
    </row>
    <row r="34" spans="1:19" ht="16.5" customHeight="1" x14ac:dyDescent="0.25">
      <c r="A34" s="181">
        <v>1</v>
      </c>
      <c r="B34" s="181">
        <v>29</v>
      </c>
      <c r="C34" s="182">
        <v>35733</v>
      </c>
      <c r="D34" s="181" t="s">
        <v>955</v>
      </c>
      <c r="E34" s="181" t="s">
        <v>1191</v>
      </c>
      <c r="F34" s="181" t="s">
        <v>1274</v>
      </c>
      <c r="G34" s="181" t="s">
        <v>1275</v>
      </c>
      <c r="H34" s="181" t="s">
        <v>1276</v>
      </c>
      <c r="I34" s="183"/>
      <c r="J34" s="183"/>
      <c r="K34" s="181"/>
      <c r="L34" s="181"/>
      <c r="M34" s="181">
        <v>850</v>
      </c>
      <c r="N34" s="181">
        <v>30</v>
      </c>
      <c r="O34" s="181">
        <v>1.75</v>
      </c>
      <c r="P34" s="181"/>
      <c r="Q34" s="181" t="s">
        <v>1277</v>
      </c>
      <c r="R34" s="181" t="s">
        <v>1250</v>
      </c>
      <c r="S34" s="181" t="s">
        <v>1278</v>
      </c>
    </row>
    <row r="35" spans="1:19" ht="16.5" customHeight="1" x14ac:dyDescent="0.25">
      <c r="A35" s="181">
        <v>1</v>
      </c>
      <c r="B35" s="181">
        <v>30</v>
      </c>
      <c r="C35" s="182">
        <v>35734</v>
      </c>
      <c r="D35" s="181" t="s">
        <v>955</v>
      </c>
      <c r="E35" s="181" t="s">
        <v>1191</v>
      </c>
      <c r="F35" s="181" t="s">
        <v>1279</v>
      </c>
      <c r="G35" s="181" t="s">
        <v>1280</v>
      </c>
      <c r="H35" s="181" t="s">
        <v>1281</v>
      </c>
      <c r="I35" s="183"/>
      <c r="J35" s="183"/>
      <c r="K35" s="181"/>
      <c r="L35" s="181"/>
      <c r="M35" s="181">
        <v>850</v>
      </c>
      <c r="N35" s="181">
        <v>9.5</v>
      </c>
      <c r="O35" s="181">
        <v>3.5</v>
      </c>
      <c r="P35" s="181"/>
      <c r="Q35" s="181"/>
      <c r="R35" s="181" t="s">
        <v>1246</v>
      </c>
      <c r="S35" s="181" t="s">
        <v>1282</v>
      </c>
    </row>
    <row r="36" spans="1:19" ht="16.5" customHeight="1" x14ac:dyDescent="0.25">
      <c r="A36" s="181">
        <v>1</v>
      </c>
      <c r="B36" s="181">
        <v>31</v>
      </c>
      <c r="C36" s="182">
        <v>35734</v>
      </c>
      <c r="D36" s="181" t="s">
        <v>955</v>
      </c>
      <c r="E36" s="181" t="s">
        <v>1191</v>
      </c>
      <c r="F36" s="181" t="s">
        <v>1283</v>
      </c>
      <c r="G36" s="181" t="s">
        <v>1284</v>
      </c>
      <c r="H36" s="181" t="s">
        <v>1285</v>
      </c>
      <c r="I36" s="183"/>
      <c r="J36" s="183"/>
      <c r="K36" s="181"/>
      <c r="L36" s="181"/>
      <c r="M36" s="181">
        <v>1200</v>
      </c>
      <c r="N36" s="181">
        <v>20</v>
      </c>
      <c r="O36" s="181">
        <v>4.75</v>
      </c>
      <c r="P36" s="181"/>
      <c r="Q36" s="181"/>
      <c r="R36" s="181" t="s">
        <v>1286</v>
      </c>
      <c r="S36" s="181" t="s">
        <v>1287</v>
      </c>
    </row>
    <row r="37" spans="1:19" ht="16.5" customHeight="1" x14ac:dyDescent="0.25">
      <c r="A37" s="181">
        <v>1</v>
      </c>
      <c r="B37" s="181">
        <v>32</v>
      </c>
      <c r="C37" s="182">
        <v>35734</v>
      </c>
      <c r="D37" s="181" t="s">
        <v>955</v>
      </c>
      <c r="E37" s="181" t="s">
        <v>1191</v>
      </c>
      <c r="F37" s="181" t="s">
        <v>1288</v>
      </c>
      <c r="G37" s="181" t="s">
        <v>1289</v>
      </c>
      <c r="H37" s="181" t="s">
        <v>1290</v>
      </c>
      <c r="I37" s="183"/>
      <c r="J37" s="183"/>
      <c r="K37" s="181"/>
      <c r="L37" s="181"/>
      <c r="M37" s="181">
        <v>700</v>
      </c>
      <c r="N37" s="181">
        <v>10</v>
      </c>
      <c r="O37" s="181">
        <v>3.25</v>
      </c>
      <c r="P37" s="181"/>
      <c r="Q37" s="181"/>
      <c r="R37" s="181" t="s">
        <v>1291</v>
      </c>
      <c r="S37" s="181" t="s">
        <v>1292</v>
      </c>
    </row>
    <row r="38" spans="1:19" ht="16.5" customHeight="1" x14ac:dyDescent="0.25">
      <c r="A38" s="181">
        <v>1</v>
      </c>
      <c r="B38" s="181">
        <v>33</v>
      </c>
      <c r="C38" s="182">
        <v>35734</v>
      </c>
      <c r="D38" s="181" t="s">
        <v>955</v>
      </c>
      <c r="E38" s="181" t="s">
        <v>1191</v>
      </c>
      <c r="F38" s="181" t="s">
        <v>1293</v>
      </c>
      <c r="G38" s="181"/>
      <c r="H38" s="181" t="s">
        <v>1294</v>
      </c>
      <c r="I38" s="183"/>
      <c r="J38" s="183"/>
      <c r="K38" s="181"/>
      <c r="L38" s="181"/>
      <c r="M38" s="181">
        <v>850</v>
      </c>
      <c r="N38" s="181">
        <v>8</v>
      </c>
      <c r="O38" s="181">
        <v>1.6</v>
      </c>
      <c r="P38" s="181"/>
      <c r="Q38" s="181" t="s">
        <v>1295</v>
      </c>
      <c r="R38" s="181" t="s">
        <v>1250</v>
      </c>
      <c r="S38" s="181" t="s">
        <v>1019</v>
      </c>
    </row>
    <row r="39" spans="1:19" ht="16.5" customHeight="1" x14ac:dyDescent="0.25">
      <c r="A39" s="181"/>
      <c r="B39" s="181"/>
      <c r="C39" s="193" t="s">
        <v>1020</v>
      </c>
      <c r="D39" s="187"/>
      <c r="E39" s="187"/>
      <c r="F39" s="187"/>
      <c r="G39" s="187"/>
      <c r="H39" s="187"/>
      <c r="I39" s="188"/>
      <c r="J39" s="188"/>
      <c r="K39" s="189"/>
      <c r="L39" s="189"/>
      <c r="M39" s="181"/>
      <c r="N39" s="181"/>
      <c r="O39" s="181"/>
      <c r="P39" s="181"/>
      <c r="Q39" s="181"/>
      <c r="R39" s="181"/>
      <c r="S39" s="181"/>
    </row>
    <row r="40" spans="1:19" ht="16.5" customHeight="1" x14ac:dyDescent="0.25">
      <c r="A40" s="181">
        <v>1</v>
      </c>
      <c r="B40" s="181">
        <v>34</v>
      </c>
      <c r="C40" s="182">
        <v>35940</v>
      </c>
      <c r="D40" s="181" t="s">
        <v>1021</v>
      </c>
      <c r="E40" s="181" t="s">
        <v>1191</v>
      </c>
      <c r="F40" s="181" t="s">
        <v>1022</v>
      </c>
      <c r="G40" s="181" t="s">
        <v>1023</v>
      </c>
      <c r="H40" s="181" t="s">
        <v>1024</v>
      </c>
      <c r="I40" s="183"/>
      <c r="J40" s="183"/>
      <c r="K40" s="181"/>
      <c r="L40" s="181"/>
      <c r="M40" s="181">
        <v>850</v>
      </c>
      <c r="N40" s="181">
        <v>8</v>
      </c>
      <c r="O40" s="181" t="s">
        <v>1025</v>
      </c>
      <c r="P40" s="181"/>
      <c r="Q40" s="181"/>
      <c r="R40" s="181" t="s">
        <v>1026</v>
      </c>
      <c r="S40" s="181" t="s">
        <v>1027</v>
      </c>
    </row>
    <row r="41" spans="1:19" ht="16.5" customHeight="1" x14ac:dyDescent="0.25">
      <c r="A41" s="181">
        <v>1</v>
      </c>
      <c r="B41" s="181">
        <v>35</v>
      </c>
      <c r="C41" s="182">
        <v>35940</v>
      </c>
      <c r="D41" s="181" t="s">
        <v>1021</v>
      </c>
      <c r="E41" s="181" t="s">
        <v>1191</v>
      </c>
      <c r="F41" s="181" t="s">
        <v>1297</v>
      </c>
      <c r="G41" s="181" t="s">
        <v>1298</v>
      </c>
      <c r="H41" s="181" t="s">
        <v>1299</v>
      </c>
      <c r="I41" s="183"/>
      <c r="J41" s="183"/>
      <c r="K41" s="181"/>
      <c r="L41" s="181"/>
      <c r="M41" s="181">
        <v>750</v>
      </c>
      <c r="N41" s="181">
        <v>8</v>
      </c>
      <c r="O41" s="181" t="s">
        <v>1028</v>
      </c>
      <c r="P41" s="181"/>
      <c r="Q41" s="181" t="s">
        <v>1029</v>
      </c>
      <c r="R41" s="181" t="s">
        <v>1026</v>
      </c>
      <c r="S41" s="181" t="s">
        <v>1300</v>
      </c>
    </row>
    <row r="42" spans="1:19" ht="16.5" customHeight="1" x14ac:dyDescent="0.25">
      <c r="A42" s="181">
        <v>1</v>
      </c>
      <c r="B42" s="181">
        <v>36</v>
      </c>
      <c r="C42" s="182">
        <v>35940</v>
      </c>
      <c r="D42" s="181" t="s">
        <v>1021</v>
      </c>
      <c r="E42" s="181" t="s">
        <v>1191</v>
      </c>
      <c r="F42" s="181" t="s">
        <v>1301</v>
      </c>
      <c r="G42" s="181" t="s">
        <v>1302</v>
      </c>
      <c r="H42" s="181" t="s">
        <v>1303</v>
      </c>
      <c r="I42" s="183"/>
      <c r="J42" s="183"/>
      <c r="K42" s="181"/>
      <c r="L42" s="181"/>
      <c r="M42" s="181">
        <v>850</v>
      </c>
      <c r="N42" s="181">
        <v>9</v>
      </c>
      <c r="O42" s="181" t="s">
        <v>1304</v>
      </c>
      <c r="P42" s="181"/>
      <c r="Q42" s="181" t="s">
        <v>1305</v>
      </c>
      <c r="R42" s="181" t="s">
        <v>1026</v>
      </c>
      <c r="S42" s="181" t="s">
        <v>1306</v>
      </c>
    </row>
    <row r="43" spans="1:19" ht="16.5" customHeight="1" x14ac:dyDescent="0.25">
      <c r="A43" s="181">
        <v>1</v>
      </c>
      <c r="B43" s="181">
        <v>37</v>
      </c>
      <c r="C43" s="182">
        <v>35940</v>
      </c>
      <c r="D43" s="181" t="s">
        <v>1021</v>
      </c>
      <c r="E43" s="181" t="s">
        <v>1191</v>
      </c>
      <c r="F43" s="181" t="s">
        <v>967</v>
      </c>
      <c r="G43" s="181" t="s">
        <v>1302</v>
      </c>
      <c r="H43" s="181" t="s">
        <v>1307</v>
      </c>
      <c r="I43" s="183"/>
      <c r="J43" s="183"/>
      <c r="K43" s="181"/>
      <c r="L43" s="181"/>
      <c r="M43" s="181">
        <v>850</v>
      </c>
      <c r="N43" s="181">
        <v>15</v>
      </c>
      <c r="O43" s="181" t="s">
        <v>1304</v>
      </c>
      <c r="P43" s="181"/>
      <c r="Q43" s="181" t="s">
        <v>1308</v>
      </c>
      <c r="R43" s="181" t="s">
        <v>1309</v>
      </c>
      <c r="S43" s="181" t="s">
        <v>1310</v>
      </c>
    </row>
    <row r="44" spans="1:19" ht="16.5" customHeight="1" x14ac:dyDescent="0.25">
      <c r="A44" s="181">
        <v>1</v>
      </c>
      <c r="B44" s="181">
        <v>38</v>
      </c>
      <c r="C44" s="182">
        <v>35940</v>
      </c>
      <c r="D44" s="181" t="s">
        <v>1021</v>
      </c>
      <c r="E44" s="181" t="s">
        <v>1191</v>
      </c>
      <c r="F44" s="181" t="s">
        <v>1311</v>
      </c>
      <c r="G44" s="181" t="s">
        <v>1312</v>
      </c>
      <c r="H44" s="181" t="s">
        <v>1313</v>
      </c>
      <c r="I44" s="183"/>
      <c r="J44" s="183"/>
      <c r="K44" s="181"/>
      <c r="L44" s="181"/>
      <c r="M44" s="181">
        <v>400</v>
      </c>
      <c r="N44" s="181">
        <v>15</v>
      </c>
      <c r="O44" s="181">
        <v>1</v>
      </c>
      <c r="P44" s="181"/>
      <c r="Q44" s="181" t="s">
        <v>1314</v>
      </c>
      <c r="R44" s="181" t="s">
        <v>1309</v>
      </c>
      <c r="S44" s="181" t="s">
        <v>1315</v>
      </c>
    </row>
    <row r="45" spans="1:19" ht="16.5" customHeight="1" x14ac:dyDescent="0.25">
      <c r="A45" s="181">
        <v>1</v>
      </c>
      <c r="B45" s="181">
        <v>39</v>
      </c>
      <c r="C45" s="182">
        <v>35941</v>
      </c>
      <c r="D45" s="181" t="s">
        <v>955</v>
      </c>
      <c r="E45" s="181" t="s">
        <v>1191</v>
      </c>
      <c r="F45" s="181" t="s">
        <v>1316</v>
      </c>
      <c r="G45" s="181" t="s">
        <v>1317</v>
      </c>
      <c r="H45" s="181" t="s">
        <v>1039</v>
      </c>
      <c r="I45" s="183"/>
      <c r="J45" s="183"/>
      <c r="K45" s="181"/>
      <c r="L45" s="181"/>
      <c r="M45" s="181">
        <v>400</v>
      </c>
      <c r="N45" s="181">
        <v>4</v>
      </c>
      <c r="O45" s="181">
        <v>2</v>
      </c>
      <c r="P45" s="181"/>
      <c r="Q45" s="181" t="s">
        <v>1040</v>
      </c>
      <c r="R45" s="181" t="s">
        <v>1309</v>
      </c>
      <c r="S45" s="181" t="s">
        <v>1041</v>
      </c>
    </row>
    <row r="46" spans="1:19" ht="16.5" customHeight="1" x14ac:dyDescent="0.25">
      <c r="A46" s="181">
        <v>1</v>
      </c>
      <c r="B46" s="181">
        <v>40</v>
      </c>
      <c r="C46" s="182">
        <v>35941</v>
      </c>
      <c r="D46" s="181" t="s">
        <v>955</v>
      </c>
      <c r="E46" s="181" t="s">
        <v>1042</v>
      </c>
      <c r="F46" s="181" t="s">
        <v>1043</v>
      </c>
      <c r="G46" s="181" t="s">
        <v>1044</v>
      </c>
      <c r="H46" s="181" t="s">
        <v>1045</v>
      </c>
      <c r="I46" s="183"/>
      <c r="J46" s="183"/>
      <c r="K46" s="181"/>
      <c r="L46" s="181"/>
      <c r="M46" s="181">
        <v>300</v>
      </c>
      <c r="N46" s="181">
        <v>3</v>
      </c>
      <c r="O46" s="181">
        <v>2</v>
      </c>
      <c r="P46" s="181"/>
      <c r="Q46" s="181" t="s">
        <v>1046</v>
      </c>
      <c r="R46" s="181" t="s">
        <v>1309</v>
      </c>
      <c r="S46" s="181" t="s">
        <v>1047</v>
      </c>
    </row>
    <row r="47" spans="1:19" ht="16.5" customHeight="1" x14ac:dyDescent="0.25">
      <c r="A47" s="181">
        <v>1</v>
      </c>
      <c r="B47" s="181">
        <v>41</v>
      </c>
      <c r="C47" s="182">
        <v>35941</v>
      </c>
      <c r="D47" s="181" t="s">
        <v>955</v>
      </c>
      <c r="E47" s="181" t="s">
        <v>1191</v>
      </c>
      <c r="F47" s="181" t="s">
        <v>1048</v>
      </c>
      <c r="G47" s="181" t="s">
        <v>1049</v>
      </c>
      <c r="H47" s="181" t="s">
        <v>1050</v>
      </c>
      <c r="I47" s="183"/>
      <c r="J47" s="183"/>
      <c r="K47" s="181"/>
      <c r="L47" s="181"/>
      <c r="M47" s="181"/>
      <c r="N47" s="181">
        <v>10</v>
      </c>
      <c r="O47" s="181"/>
      <c r="P47" s="181"/>
      <c r="Q47" s="181" t="s">
        <v>1051</v>
      </c>
      <c r="R47" s="181" t="s">
        <v>1309</v>
      </c>
      <c r="S47" s="181"/>
    </row>
    <row r="48" spans="1:19" ht="16.5" customHeight="1" x14ac:dyDescent="0.25">
      <c r="A48" s="181">
        <v>1</v>
      </c>
      <c r="B48" s="181">
        <v>42</v>
      </c>
      <c r="C48" s="182">
        <v>35941</v>
      </c>
      <c r="D48" s="181" t="s">
        <v>955</v>
      </c>
      <c r="E48" s="181" t="s">
        <v>1191</v>
      </c>
      <c r="F48" s="181" t="s">
        <v>1052</v>
      </c>
      <c r="G48" s="181" t="s">
        <v>1053</v>
      </c>
      <c r="H48" s="181" t="s">
        <v>1054</v>
      </c>
      <c r="I48" s="183"/>
      <c r="J48" s="183"/>
      <c r="K48" s="181"/>
      <c r="L48" s="181"/>
      <c r="M48" s="181">
        <v>400</v>
      </c>
      <c r="N48" s="181">
        <v>30</v>
      </c>
      <c r="O48" s="181">
        <v>2</v>
      </c>
      <c r="P48" s="181"/>
      <c r="Q48" s="181" t="s">
        <v>1055</v>
      </c>
      <c r="R48" s="181" t="s">
        <v>1056</v>
      </c>
      <c r="S48" s="181" t="s">
        <v>1057</v>
      </c>
    </row>
    <row r="49" spans="1:19" ht="16.5" customHeight="1" x14ac:dyDescent="0.25">
      <c r="A49" s="181">
        <v>1</v>
      </c>
      <c r="B49" s="181">
        <v>43</v>
      </c>
      <c r="C49" s="182">
        <v>35942</v>
      </c>
      <c r="D49" s="181" t="s">
        <v>955</v>
      </c>
      <c r="E49" s="181" t="s">
        <v>1042</v>
      </c>
      <c r="F49" s="181" t="s">
        <v>1058</v>
      </c>
      <c r="G49" s="181" t="s">
        <v>1059</v>
      </c>
      <c r="H49" s="181" t="s">
        <v>1060</v>
      </c>
      <c r="I49" s="183"/>
      <c r="J49" s="183"/>
      <c r="K49" s="181"/>
      <c r="L49" s="181"/>
      <c r="M49" s="181">
        <v>600</v>
      </c>
      <c r="N49" s="181">
        <v>5</v>
      </c>
      <c r="O49" s="181">
        <v>2</v>
      </c>
      <c r="P49" s="181"/>
      <c r="Q49" s="181" t="s">
        <v>1061</v>
      </c>
      <c r="R49" s="181"/>
      <c r="S49" s="181"/>
    </row>
    <row r="50" spans="1:19" ht="16.5" customHeight="1" x14ac:dyDescent="0.25">
      <c r="A50" s="181">
        <v>1</v>
      </c>
      <c r="B50" s="181">
        <v>44</v>
      </c>
      <c r="C50" s="182">
        <v>35942</v>
      </c>
      <c r="D50" s="181" t="s">
        <v>955</v>
      </c>
      <c r="E50" s="181" t="s">
        <v>1195</v>
      </c>
      <c r="F50" s="181" t="s">
        <v>1062</v>
      </c>
      <c r="G50" s="181" t="s">
        <v>1063</v>
      </c>
      <c r="H50" s="181" t="s">
        <v>1687</v>
      </c>
      <c r="I50" s="183"/>
      <c r="J50" s="183"/>
      <c r="K50" s="181"/>
      <c r="L50" s="181"/>
      <c r="M50" s="181">
        <v>400</v>
      </c>
      <c r="N50" s="181">
        <v>5</v>
      </c>
      <c r="O50" s="181">
        <v>4</v>
      </c>
      <c r="P50" s="181"/>
      <c r="Q50" s="181" t="s">
        <v>1688</v>
      </c>
      <c r="R50" s="181" t="s">
        <v>1689</v>
      </c>
      <c r="S50" s="181"/>
    </row>
    <row r="51" spans="1:19" ht="16.5" customHeight="1" x14ac:dyDescent="0.25">
      <c r="A51" s="181">
        <v>1</v>
      </c>
      <c r="B51" s="181">
        <v>45</v>
      </c>
      <c r="C51" s="182">
        <v>35942</v>
      </c>
      <c r="D51" s="181" t="s">
        <v>955</v>
      </c>
      <c r="E51" s="181" t="s">
        <v>1195</v>
      </c>
      <c r="F51" s="181" t="s">
        <v>1311</v>
      </c>
      <c r="G51" s="181" t="s">
        <v>1690</v>
      </c>
      <c r="H51" s="181" t="s">
        <v>1691</v>
      </c>
      <c r="I51" s="183"/>
      <c r="J51" s="183"/>
      <c r="K51" s="181"/>
      <c r="L51" s="181"/>
      <c r="M51" s="181">
        <v>400</v>
      </c>
      <c r="N51" s="181">
        <v>15</v>
      </c>
      <c r="O51" s="181">
        <v>2</v>
      </c>
      <c r="P51" s="181"/>
      <c r="Q51" s="181"/>
      <c r="R51" s="181" t="s">
        <v>1026</v>
      </c>
      <c r="S51" s="181"/>
    </row>
    <row r="52" spans="1:19" ht="16.5" customHeight="1" x14ac:dyDescent="0.25">
      <c r="A52" s="181">
        <v>1</v>
      </c>
      <c r="B52" s="181">
        <v>46</v>
      </c>
      <c r="C52" s="182">
        <v>35980</v>
      </c>
      <c r="D52" s="181" t="s">
        <v>955</v>
      </c>
      <c r="E52" s="181" t="s">
        <v>1195</v>
      </c>
      <c r="F52" s="181" t="s">
        <v>1692</v>
      </c>
      <c r="G52" s="181" t="s">
        <v>1693</v>
      </c>
      <c r="H52" s="181" t="s">
        <v>1694</v>
      </c>
      <c r="I52" s="183"/>
      <c r="J52" s="183"/>
      <c r="K52" s="181"/>
      <c r="L52" s="181"/>
      <c r="M52" s="181"/>
      <c r="N52" s="181">
        <v>5</v>
      </c>
      <c r="O52" s="181"/>
      <c r="P52" s="181"/>
      <c r="Q52" s="181"/>
      <c r="R52" s="181"/>
      <c r="S52" s="181"/>
    </row>
    <row r="53" spans="1:19" ht="16.5" customHeight="1" x14ac:dyDescent="0.25">
      <c r="A53" s="181">
        <v>1</v>
      </c>
      <c r="B53" s="181">
        <v>47</v>
      </c>
      <c r="C53" s="182">
        <v>35980</v>
      </c>
      <c r="D53" s="181" t="s">
        <v>955</v>
      </c>
      <c r="E53" s="181" t="s">
        <v>1195</v>
      </c>
      <c r="F53" s="181" t="s">
        <v>1695</v>
      </c>
      <c r="G53" s="181" t="s">
        <v>1263</v>
      </c>
      <c r="H53" s="181" t="s">
        <v>807</v>
      </c>
      <c r="I53" s="183"/>
      <c r="J53" s="183"/>
      <c r="K53" s="181"/>
      <c r="L53" s="181"/>
      <c r="M53" s="181"/>
      <c r="N53" s="181">
        <v>5</v>
      </c>
      <c r="O53" s="181"/>
      <c r="P53" s="181"/>
      <c r="Q53" s="181"/>
      <c r="R53" s="181"/>
      <c r="S53" s="181"/>
    </row>
    <row r="54" spans="1:19" ht="16.5" customHeight="1" x14ac:dyDescent="0.25">
      <c r="A54" s="181">
        <v>1</v>
      </c>
      <c r="B54" s="181">
        <v>48</v>
      </c>
      <c r="C54" s="182">
        <v>35980</v>
      </c>
      <c r="D54" s="181" t="s">
        <v>955</v>
      </c>
      <c r="E54" s="181" t="s">
        <v>1195</v>
      </c>
      <c r="F54" s="181" t="s">
        <v>808</v>
      </c>
      <c r="G54" s="181" t="s">
        <v>809</v>
      </c>
      <c r="H54" s="181" t="s">
        <v>810</v>
      </c>
      <c r="I54" s="183"/>
      <c r="J54" s="183"/>
      <c r="K54" s="181"/>
      <c r="L54" s="181"/>
      <c r="M54" s="181"/>
      <c r="N54" s="181">
        <v>25</v>
      </c>
      <c r="O54" s="181"/>
      <c r="P54" s="181"/>
      <c r="Q54" s="181"/>
      <c r="R54" s="181"/>
      <c r="S54" s="181"/>
    </row>
    <row r="55" spans="1:19" ht="16.5" customHeight="1" x14ac:dyDescent="0.25">
      <c r="A55" s="181">
        <v>1</v>
      </c>
      <c r="B55" s="181">
        <v>49</v>
      </c>
      <c r="C55" s="182">
        <v>35980</v>
      </c>
      <c r="D55" s="181" t="s">
        <v>955</v>
      </c>
      <c r="E55" s="181" t="s">
        <v>1195</v>
      </c>
      <c r="F55" s="181" t="s">
        <v>811</v>
      </c>
      <c r="G55" s="181" t="s">
        <v>812</v>
      </c>
      <c r="H55" s="181" t="s">
        <v>813</v>
      </c>
      <c r="I55" s="183"/>
      <c r="J55" s="183"/>
      <c r="K55" s="181"/>
      <c r="L55" s="181"/>
      <c r="M55" s="181"/>
      <c r="N55" s="181">
        <v>45</v>
      </c>
      <c r="O55" s="181"/>
      <c r="P55" s="181"/>
      <c r="Q55" s="181"/>
      <c r="R55" s="181"/>
      <c r="S55" s="181"/>
    </row>
    <row r="56" spans="1:19" ht="16.5" customHeight="1" x14ac:dyDescent="0.25">
      <c r="A56" s="181">
        <v>1</v>
      </c>
      <c r="B56" s="181">
        <v>50</v>
      </c>
      <c r="C56" s="182">
        <v>35981</v>
      </c>
      <c r="D56" s="181" t="s">
        <v>955</v>
      </c>
      <c r="E56" s="181" t="s">
        <v>1195</v>
      </c>
      <c r="F56" s="181" t="s">
        <v>814</v>
      </c>
      <c r="G56" s="181" t="s">
        <v>815</v>
      </c>
      <c r="H56" s="181" t="s">
        <v>816</v>
      </c>
      <c r="I56" s="183"/>
      <c r="J56" s="183"/>
      <c r="K56" s="181"/>
      <c r="L56" s="181"/>
      <c r="M56" s="181"/>
      <c r="N56" s="181">
        <v>20</v>
      </c>
      <c r="O56" s="181"/>
      <c r="P56" s="181"/>
      <c r="Q56" s="181"/>
      <c r="R56" s="181"/>
      <c r="S56" s="181"/>
    </row>
    <row r="57" spans="1:19" ht="16.5" customHeight="1" x14ac:dyDescent="0.25">
      <c r="A57" s="181">
        <v>1</v>
      </c>
      <c r="B57" s="181">
        <v>51</v>
      </c>
      <c r="C57" s="182">
        <v>35981</v>
      </c>
      <c r="D57" s="181" t="s">
        <v>955</v>
      </c>
      <c r="E57" s="181" t="s">
        <v>1195</v>
      </c>
      <c r="F57" s="181" t="s">
        <v>817</v>
      </c>
      <c r="G57" s="181" t="s">
        <v>818</v>
      </c>
      <c r="H57" s="181" t="s">
        <v>1656</v>
      </c>
      <c r="I57" s="183"/>
      <c r="J57" s="183"/>
      <c r="K57" s="181"/>
      <c r="L57" s="181"/>
      <c r="M57" s="181"/>
      <c r="N57" s="181">
        <v>15</v>
      </c>
      <c r="O57" s="181"/>
      <c r="P57" s="181"/>
      <c r="Q57" s="181"/>
      <c r="R57" s="181"/>
      <c r="S57" s="181"/>
    </row>
    <row r="58" spans="1:19" ht="16.5" customHeight="1" x14ac:dyDescent="0.25">
      <c r="A58" s="181">
        <v>1</v>
      </c>
      <c r="B58" s="181">
        <v>52</v>
      </c>
      <c r="C58" s="182">
        <v>35981</v>
      </c>
      <c r="D58" s="181" t="s">
        <v>955</v>
      </c>
      <c r="E58" s="181" t="s">
        <v>1195</v>
      </c>
      <c r="F58" s="181" t="s">
        <v>1657</v>
      </c>
      <c r="G58" s="181" t="s">
        <v>1658</v>
      </c>
      <c r="H58" s="181" t="s">
        <v>1659</v>
      </c>
      <c r="I58" s="183"/>
      <c r="J58" s="183"/>
      <c r="K58" s="181"/>
      <c r="L58" s="181"/>
      <c r="M58" s="181"/>
      <c r="N58" s="181">
        <v>60</v>
      </c>
      <c r="O58" s="181"/>
      <c r="P58" s="181"/>
      <c r="Q58" s="181"/>
      <c r="R58" s="181"/>
      <c r="S58" s="181"/>
    </row>
    <row r="59" spans="1:19" ht="16.5" customHeight="1" x14ac:dyDescent="0.25">
      <c r="A59" s="181"/>
      <c r="B59" s="181"/>
      <c r="C59" s="184" t="s">
        <v>746</v>
      </c>
      <c r="D59" s="190"/>
      <c r="E59" s="190"/>
      <c r="F59" s="190"/>
      <c r="G59" s="190"/>
      <c r="H59" s="190"/>
      <c r="I59" s="188"/>
      <c r="J59" s="188"/>
      <c r="K59" s="191"/>
      <c r="L59" s="191"/>
      <c r="M59" s="181"/>
      <c r="N59" s="181"/>
      <c r="O59" s="181"/>
      <c r="P59" s="181"/>
      <c r="Q59" s="181"/>
      <c r="R59" s="181"/>
      <c r="S59" s="181"/>
    </row>
    <row r="60" spans="1:19" ht="16.5" customHeight="1" x14ac:dyDescent="0.25">
      <c r="A60" s="181">
        <v>1</v>
      </c>
      <c r="B60" s="181">
        <v>53</v>
      </c>
      <c r="C60" s="182">
        <v>36255</v>
      </c>
      <c r="D60" s="181" t="s">
        <v>747</v>
      </c>
      <c r="E60" s="181" t="s">
        <v>748</v>
      </c>
      <c r="F60" s="181" t="s">
        <v>749</v>
      </c>
      <c r="G60" s="181"/>
      <c r="H60" s="181" t="s">
        <v>750</v>
      </c>
      <c r="I60" s="183"/>
      <c r="J60" s="183"/>
      <c r="K60" s="181"/>
      <c r="L60" s="181"/>
      <c r="M60" s="181">
        <v>300</v>
      </c>
      <c r="N60" s="181">
        <v>3</v>
      </c>
      <c r="O60" s="181">
        <v>1</v>
      </c>
      <c r="P60" s="181"/>
      <c r="Q60" s="181"/>
      <c r="R60" s="181" t="s">
        <v>751</v>
      </c>
      <c r="S60" s="181"/>
    </row>
    <row r="61" spans="1:19" ht="16.5" customHeight="1" x14ac:dyDescent="0.25">
      <c r="A61" s="181">
        <v>1</v>
      </c>
      <c r="B61" s="181">
        <v>54</v>
      </c>
      <c r="C61" s="182">
        <v>36255</v>
      </c>
      <c r="D61" s="181" t="s">
        <v>747</v>
      </c>
      <c r="E61" s="181" t="s">
        <v>748</v>
      </c>
      <c r="F61" s="181" t="s">
        <v>750</v>
      </c>
      <c r="G61" s="181"/>
      <c r="H61" s="181" t="s">
        <v>750</v>
      </c>
      <c r="I61" s="183"/>
      <c r="J61" s="183"/>
      <c r="K61" s="181"/>
      <c r="L61" s="181"/>
      <c r="M61" s="181">
        <v>300</v>
      </c>
      <c r="N61" s="181">
        <v>3</v>
      </c>
      <c r="O61" s="181">
        <v>1</v>
      </c>
      <c r="P61" s="181"/>
      <c r="Q61" s="181"/>
      <c r="R61" s="181"/>
      <c r="S61" s="181"/>
    </row>
    <row r="62" spans="1:19" ht="16.5" customHeight="1" x14ac:dyDescent="0.25">
      <c r="A62" s="181">
        <v>1</v>
      </c>
      <c r="B62" s="181">
        <v>55</v>
      </c>
      <c r="C62" s="182">
        <v>36255</v>
      </c>
      <c r="D62" s="181" t="s">
        <v>747</v>
      </c>
      <c r="E62" s="181" t="s">
        <v>748</v>
      </c>
      <c r="F62" s="181" t="s">
        <v>750</v>
      </c>
      <c r="G62" s="181"/>
      <c r="H62" s="181" t="s">
        <v>750</v>
      </c>
      <c r="I62" s="183"/>
      <c r="J62" s="183"/>
      <c r="K62" s="181"/>
      <c r="L62" s="181"/>
      <c r="M62" s="181">
        <v>300</v>
      </c>
      <c r="N62" s="181">
        <v>3</v>
      </c>
      <c r="O62" s="181">
        <v>1</v>
      </c>
      <c r="P62" s="181"/>
      <c r="Q62" s="181"/>
      <c r="R62" s="181"/>
      <c r="S62" s="181"/>
    </row>
    <row r="63" spans="1:19" ht="16.5" customHeight="1" x14ac:dyDescent="0.25">
      <c r="A63" s="181">
        <v>1</v>
      </c>
      <c r="B63" s="181">
        <v>56</v>
      </c>
      <c r="C63" s="182">
        <v>36255</v>
      </c>
      <c r="D63" s="181" t="s">
        <v>747</v>
      </c>
      <c r="E63" s="181" t="s">
        <v>748</v>
      </c>
      <c r="F63" s="181" t="s">
        <v>750</v>
      </c>
      <c r="G63" s="181" t="s">
        <v>752</v>
      </c>
      <c r="H63" s="181" t="s">
        <v>753</v>
      </c>
      <c r="I63" s="183"/>
      <c r="J63" s="183"/>
      <c r="K63" s="181"/>
      <c r="L63" s="181"/>
      <c r="M63" s="181"/>
      <c r="N63" s="181">
        <v>60</v>
      </c>
      <c r="O63" s="181">
        <v>6</v>
      </c>
      <c r="P63" s="181"/>
      <c r="Q63" s="181" t="s">
        <v>754</v>
      </c>
      <c r="R63" s="181" t="s">
        <v>755</v>
      </c>
      <c r="S63" s="181" t="s">
        <v>756</v>
      </c>
    </row>
    <row r="64" spans="1:19" ht="16.5" customHeight="1" x14ac:dyDescent="0.25">
      <c r="A64" s="181">
        <v>1</v>
      </c>
      <c r="B64" s="181">
        <v>57</v>
      </c>
      <c r="C64" s="182">
        <v>36255</v>
      </c>
      <c r="D64" s="181" t="s">
        <v>747</v>
      </c>
      <c r="E64" s="181" t="s">
        <v>748</v>
      </c>
      <c r="F64" s="181" t="s">
        <v>750</v>
      </c>
      <c r="G64" s="181" t="s">
        <v>757</v>
      </c>
      <c r="H64" s="181" t="s">
        <v>758</v>
      </c>
      <c r="I64" s="183"/>
      <c r="J64" s="183"/>
      <c r="K64" s="181"/>
      <c r="L64" s="181"/>
      <c r="M64" s="181">
        <v>300</v>
      </c>
      <c r="N64" s="181">
        <v>15</v>
      </c>
      <c r="O64" s="181">
        <v>1</v>
      </c>
      <c r="P64" s="181"/>
      <c r="Q64" s="181" t="s">
        <v>759</v>
      </c>
      <c r="R64" s="181"/>
      <c r="S64" s="181"/>
    </row>
    <row r="65" spans="1:19" ht="16.5" customHeight="1" x14ac:dyDescent="0.25">
      <c r="A65" s="181">
        <v>1</v>
      </c>
      <c r="B65" s="181">
        <v>58</v>
      </c>
      <c r="C65" s="182">
        <v>36256</v>
      </c>
      <c r="D65" s="181" t="s">
        <v>760</v>
      </c>
      <c r="E65" s="181" t="s">
        <v>748</v>
      </c>
      <c r="F65" s="181" t="s">
        <v>750</v>
      </c>
      <c r="G65" s="181" t="s">
        <v>761</v>
      </c>
      <c r="H65" s="181" t="s">
        <v>750</v>
      </c>
      <c r="I65" s="183"/>
      <c r="J65" s="183"/>
      <c r="K65" s="181"/>
      <c r="L65" s="181"/>
      <c r="M65" s="181">
        <v>300</v>
      </c>
      <c r="N65" s="181">
        <v>3</v>
      </c>
      <c r="O65" s="181">
        <v>1</v>
      </c>
      <c r="P65" s="181"/>
      <c r="Q65" s="181"/>
      <c r="R65" s="181"/>
      <c r="S65" s="181"/>
    </row>
    <row r="66" spans="1:19" ht="16.5" customHeight="1" x14ac:dyDescent="0.25">
      <c r="A66" s="181">
        <v>1</v>
      </c>
      <c r="B66" s="181">
        <v>59</v>
      </c>
      <c r="C66" s="182">
        <v>36256</v>
      </c>
      <c r="D66" s="181" t="s">
        <v>762</v>
      </c>
      <c r="E66" s="181" t="s">
        <v>748</v>
      </c>
      <c r="F66" s="181" t="s">
        <v>763</v>
      </c>
      <c r="G66" s="181" t="s">
        <v>954</v>
      </c>
      <c r="H66" s="181" t="s">
        <v>750</v>
      </c>
      <c r="I66" s="183"/>
      <c r="J66" s="183"/>
      <c r="K66" s="181"/>
      <c r="L66" s="181"/>
      <c r="M66" s="181">
        <v>300</v>
      </c>
      <c r="N66" s="181">
        <v>3</v>
      </c>
      <c r="O66" s="181">
        <v>1</v>
      </c>
      <c r="P66" s="181"/>
      <c r="Q66" s="181"/>
      <c r="R66" s="181"/>
      <c r="S66" s="181" t="s">
        <v>764</v>
      </c>
    </row>
    <row r="67" spans="1:19" ht="16.5" customHeight="1" x14ac:dyDescent="0.25">
      <c r="A67" s="181">
        <v>1</v>
      </c>
      <c r="B67" s="181">
        <v>60</v>
      </c>
      <c r="C67" s="182">
        <v>36256</v>
      </c>
      <c r="D67" s="181" t="s">
        <v>762</v>
      </c>
      <c r="E67" s="181" t="s">
        <v>748</v>
      </c>
      <c r="F67" s="181" t="s">
        <v>750</v>
      </c>
      <c r="G67" s="181" t="s">
        <v>765</v>
      </c>
      <c r="H67" s="181" t="s">
        <v>750</v>
      </c>
      <c r="I67" s="183"/>
      <c r="J67" s="183"/>
      <c r="K67" s="181"/>
      <c r="L67" s="181"/>
      <c r="M67" s="181">
        <v>300</v>
      </c>
      <c r="N67" s="181">
        <v>3</v>
      </c>
      <c r="O67" s="181">
        <v>1</v>
      </c>
      <c r="P67" s="181"/>
      <c r="Q67" s="181"/>
      <c r="R67" s="181"/>
      <c r="S67" s="181"/>
    </row>
    <row r="68" spans="1:19" ht="16.5" customHeight="1" x14ac:dyDescent="0.25">
      <c r="A68" s="181">
        <v>1</v>
      </c>
      <c r="B68" s="181">
        <v>61</v>
      </c>
      <c r="C68" s="182">
        <v>36256</v>
      </c>
      <c r="D68" s="181" t="s">
        <v>762</v>
      </c>
      <c r="E68" s="181" t="s">
        <v>748</v>
      </c>
      <c r="F68" s="181" t="s">
        <v>750</v>
      </c>
      <c r="G68" s="181" t="s">
        <v>766</v>
      </c>
      <c r="H68" s="181" t="s">
        <v>750</v>
      </c>
      <c r="I68" s="183"/>
      <c r="J68" s="183"/>
      <c r="K68" s="181"/>
      <c r="L68" s="181"/>
      <c r="M68" s="181">
        <v>300</v>
      </c>
      <c r="N68" s="181">
        <v>3</v>
      </c>
      <c r="O68" s="181">
        <v>1</v>
      </c>
      <c r="P68" s="181"/>
      <c r="Q68" s="181"/>
      <c r="R68" s="181"/>
      <c r="S68" s="181"/>
    </row>
    <row r="69" spans="1:19" ht="16.5" customHeight="1" x14ac:dyDescent="0.25">
      <c r="A69" s="181">
        <v>1</v>
      </c>
      <c r="B69" s="181">
        <v>62</v>
      </c>
      <c r="C69" s="182">
        <v>36256</v>
      </c>
      <c r="D69" s="181" t="s">
        <v>762</v>
      </c>
      <c r="E69" s="181" t="s">
        <v>748</v>
      </c>
      <c r="F69" s="181" t="s">
        <v>767</v>
      </c>
      <c r="G69" s="181" t="s">
        <v>768</v>
      </c>
      <c r="H69" s="181" t="s">
        <v>707</v>
      </c>
      <c r="I69" s="183"/>
      <c r="J69" s="183"/>
      <c r="K69" s="181"/>
      <c r="L69" s="181"/>
      <c r="M69" s="192" t="s">
        <v>708</v>
      </c>
      <c r="N69" s="181">
        <v>30</v>
      </c>
      <c r="O69" s="181">
        <v>1</v>
      </c>
      <c r="P69" s="181"/>
      <c r="Q69" s="181" t="s">
        <v>709</v>
      </c>
      <c r="R69" s="181"/>
      <c r="S69" s="181"/>
    </row>
    <row r="70" spans="1:19" ht="16.5" customHeight="1" x14ac:dyDescent="0.25">
      <c r="A70" s="181">
        <v>1</v>
      </c>
      <c r="B70" s="181">
        <v>63</v>
      </c>
      <c r="C70" s="182">
        <v>36256</v>
      </c>
      <c r="D70" s="181" t="s">
        <v>762</v>
      </c>
      <c r="E70" s="181" t="s">
        <v>748</v>
      </c>
      <c r="F70" s="181" t="s">
        <v>710</v>
      </c>
      <c r="G70" s="181" t="s">
        <v>711</v>
      </c>
      <c r="H70" s="181" t="s">
        <v>712</v>
      </c>
      <c r="I70" s="183"/>
      <c r="J70" s="183"/>
      <c r="K70" s="181"/>
      <c r="L70" s="181"/>
      <c r="M70" s="192" t="s">
        <v>713</v>
      </c>
      <c r="N70" s="181">
        <v>45</v>
      </c>
      <c r="O70" s="181">
        <v>10</v>
      </c>
      <c r="P70" s="181"/>
      <c r="Q70" s="181" t="s">
        <v>714</v>
      </c>
      <c r="R70" s="181" t="s">
        <v>715</v>
      </c>
      <c r="S70" s="181" t="s">
        <v>716</v>
      </c>
    </row>
    <row r="71" spans="1:19" ht="16.5" customHeight="1" x14ac:dyDescent="0.25">
      <c r="A71" s="181">
        <v>1</v>
      </c>
      <c r="B71" s="181">
        <v>64</v>
      </c>
      <c r="C71" s="182">
        <v>36260</v>
      </c>
      <c r="D71" s="181" t="s">
        <v>996</v>
      </c>
      <c r="E71" s="181" t="s">
        <v>748</v>
      </c>
      <c r="F71" s="181" t="s">
        <v>750</v>
      </c>
      <c r="G71" s="181" t="s">
        <v>717</v>
      </c>
      <c r="H71" s="181" t="s">
        <v>718</v>
      </c>
      <c r="I71" s="183"/>
      <c r="J71" s="183"/>
      <c r="K71" s="181"/>
      <c r="L71" s="181"/>
      <c r="M71" s="181">
        <v>300</v>
      </c>
      <c r="N71" s="181">
        <v>3</v>
      </c>
      <c r="O71" s="181">
        <v>1</v>
      </c>
      <c r="P71" s="181"/>
      <c r="Q71" s="181"/>
      <c r="R71" s="181" t="s">
        <v>719</v>
      </c>
      <c r="S71" s="181"/>
    </row>
    <row r="72" spans="1:19" ht="16.5" customHeight="1" x14ac:dyDescent="0.25">
      <c r="A72" s="181">
        <v>1</v>
      </c>
      <c r="B72" s="181">
        <v>65</v>
      </c>
      <c r="C72" s="182">
        <v>36260</v>
      </c>
      <c r="D72" s="181" t="s">
        <v>996</v>
      </c>
      <c r="E72" s="181" t="s">
        <v>748</v>
      </c>
      <c r="F72" s="181" t="s">
        <v>750</v>
      </c>
      <c r="G72" s="181" t="s">
        <v>720</v>
      </c>
      <c r="H72" s="181" t="s">
        <v>721</v>
      </c>
      <c r="I72" s="183"/>
      <c r="J72" s="183"/>
      <c r="K72" s="181"/>
      <c r="L72" s="181"/>
      <c r="M72" s="181">
        <v>300</v>
      </c>
      <c r="N72" s="181">
        <v>3</v>
      </c>
      <c r="O72" s="181">
        <v>1</v>
      </c>
      <c r="P72" s="181"/>
      <c r="Q72" s="181"/>
      <c r="R72" s="181" t="s">
        <v>719</v>
      </c>
      <c r="S72" s="181"/>
    </row>
    <row r="73" spans="1:19" ht="16.5" customHeight="1" x14ac:dyDescent="0.25">
      <c r="A73" s="181">
        <v>1</v>
      </c>
      <c r="B73" s="181">
        <v>66</v>
      </c>
      <c r="C73" s="182">
        <v>36260</v>
      </c>
      <c r="D73" s="181" t="s">
        <v>996</v>
      </c>
      <c r="E73" s="181" t="s">
        <v>748</v>
      </c>
      <c r="F73" s="181" t="s">
        <v>722</v>
      </c>
      <c r="G73" s="181" t="s">
        <v>723</v>
      </c>
      <c r="H73" s="181" t="s">
        <v>724</v>
      </c>
      <c r="I73" s="183"/>
      <c r="J73" s="183"/>
      <c r="K73" s="181"/>
      <c r="L73" s="181"/>
      <c r="M73" s="181">
        <v>300</v>
      </c>
      <c r="N73" s="181">
        <v>3</v>
      </c>
      <c r="O73" s="181">
        <v>1</v>
      </c>
      <c r="P73" s="181"/>
      <c r="Q73" s="181"/>
      <c r="R73" s="181" t="s">
        <v>719</v>
      </c>
      <c r="S73" s="181"/>
    </row>
    <row r="74" spans="1:19" ht="16.5" customHeight="1" x14ac:dyDescent="0.25">
      <c r="A74" s="181">
        <v>1</v>
      </c>
      <c r="B74" s="181">
        <v>67</v>
      </c>
      <c r="C74" s="182">
        <v>36260</v>
      </c>
      <c r="D74" s="181" t="s">
        <v>996</v>
      </c>
      <c r="E74" s="181" t="s">
        <v>748</v>
      </c>
      <c r="F74" s="181" t="s">
        <v>725</v>
      </c>
      <c r="G74" s="181" t="s">
        <v>726</v>
      </c>
      <c r="H74" s="181" t="s">
        <v>727</v>
      </c>
      <c r="I74" s="183"/>
      <c r="J74" s="183"/>
      <c r="K74" s="181"/>
      <c r="L74" s="181"/>
      <c r="M74" s="181">
        <v>300</v>
      </c>
      <c r="N74" s="181">
        <v>3</v>
      </c>
      <c r="O74" s="181">
        <v>1</v>
      </c>
      <c r="P74" s="181"/>
      <c r="Q74" s="181"/>
      <c r="R74" s="181" t="s">
        <v>719</v>
      </c>
      <c r="S74" s="181"/>
    </row>
    <row r="75" spans="1:19" x14ac:dyDescent="0.25">
      <c r="B75" s="11" t="s">
        <v>728</v>
      </c>
      <c r="C75" s="11"/>
      <c r="D75" s="11"/>
      <c r="E75" s="11"/>
      <c r="F75" s="11"/>
      <c r="G75" s="11"/>
      <c r="H75" s="11"/>
      <c r="I75" s="12"/>
      <c r="J75" s="12"/>
      <c r="K75" s="5"/>
      <c r="L75" s="5"/>
    </row>
    <row r="76" spans="1:19" ht="20.399999999999999" x14ac:dyDescent="0.25">
      <c r="A76" s="6">
        <v>1</v>
      </c>
      <c r="B76" s="6">
        <v>68</v>
      </c>
      <c r="C76" s="8">
        <v>36289</v>
      </c>
      <c r="D76" s="6" t="s">
        <v>729</v>
      </c>
      <c r="E76" s="6" t="s">
        <v>730</v>
      </c>
      <c r="F76" s="6" t="s">
        <v>731</v>
      </c>
      <c r="G76" s="6" t="s">
        <v>732</v>
      </c>
      <c r="H76" s="6" t="s">
        <v>733</v>
      </c>
      <c r="M76" s="6">
        <v>400</v>
      </c>
      <c r="N76" s="6">
        <v>45</v>
      </c>
      <c r="O76" s="6">
        <v>1.25</v>
      </c>
      <c r="Q76" s="6" t="s">
        <v>734</v>
      </c>
      <c r="R76" s="6" t="s">
        <v>1309</v>
      </c>
      <c r="S76" s="6" t="s">
        <v>735</v>
      </c>
    </row>
    <row r="77" spans="1:19" ht="20.399999999999999" x14ac:dyDescent="0.25">
      <c r="A77" s="6">
        <v>1</v>
      </c>
      <c r="B77" s="6">
        <v>69</v>
      </c>
      <c r="C77" s="8">
        <v>36296</v>
      </c>
      <c r="D77" s="6" t="s">
        <v>995</v>
      </c>
      <c r="E77" s="6" t="s">
        <v>736</v>
      </c>
      <c r="F77" s="6" t="s">
        <v>737</v>
      </c>
      <c r="G77" s="6" t="s">
        <v>738</v>
      </c>
      <c r="H77" s="6" t="s">
        <v>739</v>
      </c>
      <c r="M77" s="6">
        <v>250</v>
      </c>
      <c r="N77" s="6">
        <v>2</v>
      </c>
      <c r="O77" s="6">
        <v>1</v>
      </c>
      <c r="Q77" s="6" t="s">
        <v>740</v>
      </c>
      <c r="R77" s="6" t="s">
        <v>741</v>
      </c>
      <c r="S77" s="6" t="s">
        <v>742</v>
      </c>
    </row>
    <row r="78" spans="1:19" ht="20.399999999999999" x14ac:dyDescent="0.25">
      <c r="A78" s="6">
        <v>1</v>
      </c>
      <c r="B78" s="6">
        <v>70</v>
      </c>
      <c r="C78" s="8">
        <v>36296</v>
      </c>
      <c r="D78" s="6" t="s">
        <v>995</v>
      </c>
      <c r="E78" s="6" t="s">
        <v>736</v>
      </c>
      <c r="F78" s="6" t="s">
        <v>743</v>
      </c>
      <c r="G78" s="6" t="s">
        <v>744</v>
      </c>
      <c r="H78" s="6" t="s">
        <v>745</v>
      </c>
      <c r="M78" s="6">
        <v>250</v>
      </c>
      <c r="N78" s="6">
        <v>5</v>
      </c>
      <c r="O78" s="6">
        <v>1</v>
      </c>
      <c r="Q78" s="6" t="s">
        <v>743</v>
      </c>
      <c r="R78" s="6" t="s">
        <v>954</v>
      </c>
    </row>
    <row r="79" spans="1:19" ht="20.399999999999999" x14ac:dyDescent="0.25">
      <c r="A79" s="6">
        <v>1</v>
      </c>
      <c r="B79" s="6">
        <v>71</v>
      </c>
      <c r="C79" s="8">
        <v>36296</v>
      </c>
      <c r="D79" s="6" t="s">
        <v>995</v>
      </c>
      <c r="E79" s="6" t="s">
        <v>736</v>
      </c>
      <c r="F79" s="6" t="s">
        <v>1381</v>
      </c>
      <c r="G79" s="6" t="s">
        <v>1382</v>
      </c>
      <c r="H79" s="6" t="s">
        <v>1383</v>
      </c>
      <c r="M79" s="6">
        <v>250</v>
      </c>
      <c r="N79" s="6">
        <v>10</v>
      </c>
      <c r="O79" s="6">
        <v>1</v>
      </c>
      <c r="Q79" s="6" t="s">
        <v>743</v>
      </c>
      <c r="R79" s="6" t="s">
        <v>954</v>
      </c>
    </row>
    <row r="80" spans="1:19" ht="20.399999999999999" x14ac:dyDescent="0.25">
      <c r="A80" s="6">
        <v>1</v>
      </c>
      <c r="B80" s="6">
        <v>72</v>
      </c>
      <c r="C80" s="8">
        <v>36303</v>
      </c>
      <c r="D80" s="6" t="s">
        <v>995</v>
      </c>
      <c r="E80" s="6" t="s">
        <v>1384</v>
      </c>
      <c r="F80" s="6" t="s">
        <v>1385</v>
      </c>
      <c r="G80" s="6" t="s">
        <v>1386</v>
      </c>
      <c r="H80" s="6" t="s">
        <v>1387</v>
      </c>
      <c r="M80" s="6">
        <v>800</v>
      </c>
      <c r="N80" s="6">
        <v>10</v>
      </c>
      <c r="O80" s="6">
        <v>1.5</v>
      </c>
      <c r="Q80" s="6" t="s">
        <v>740</v>
      </c>
      <c r="S80" s="6" t="s">
        <v>1388</v>
      </c>
    </row>
    <row r="81" spans="1:19" ht="20.399999999999999" x14ac:dyDescent="0.25">
      <c r="A81" s="6">
        <v>1</v>
      </c>
      <c r="B81" s="6">
        <v>73</v>
      </c>
      <c r="C81" s="8">
        <v>36303</v>
      </c>
      <c r="D81" s="6" t="s">
        <v>995</v>
      </c>
      <c r="E81" s="6" t="s">
        <v>1384</v>
      </c>
      <c r="F81" s="6" t="s">
        <v>1389</v>
      </c>
      <c r="G81" s="6" t="s">
        <v>1390</v>
      </c>
      <c r="H81" s="6" t="s">
        <v>1391</v>
      </c>
      <c r="M81" s="6">
        <v>800</v>
      </c>
      <c r="N81" s="6">
        <v>15</v>
      </c>
      <c r="O81" s="6">
        <v>1.5</v>
      </c>
      <c r="Q81" s="6" t="s">
        <v>743</v>
      </c>
      <c r="S81" s="6" t="s">
        <v>855</v>
      </c>
    </row>
    <row r="82" spans="1:19" ht="20.399999999999999" x14ac:dyDescent="0.25">
      <c r="A82" s="6">
        <v>1</v>
      </c>
      <c r="B82" s="6">
        <v>74</v>
      </c>
      <c r="C82" s="8">
        <v>36304</v>
      </c>
      <c r="D82" s="6" t="s">
        <v>995</v>
      </c>
      <c r="E82" s="6" t="s">
        <v>1384</v>
      </c>
      <c r="F82" s="6" t="s">
        <v>856</v>
      </c>
      <c r="G82" s="6" t="s">
        <v>857</v>
      </c>
      <c r="H82" s="6" t="s">
        <v>727</v>
      </c>
      <c r="M82" s="6">
        <v>800</v>
      </c>
      <c r="N82" s="6">
        <v>10</v>
      </c>
      <c r="O82" s="6">
        <v>1.5</v>
      </c>
      <c r="Q82" s="6" t="s">
        <v>858</v>
      </c>
      <c r="S82" s="6" t="s">
        <v>859</v>
      </c>
    </row>
    <row r="83" spans="1:19" x14ac:dyDescent="0.25">
      <c r="A83" s="6">
        <v>1</v>
      </c>
      <c r="B83" s="6">
        <v>75</v>
      </c>
      <c r="C83" s="8">
        <v>36304</v>
      </c>
      <c r="D83" s="6" t="s">
        <v>995</v>
      </c>
      <c r="E83" s="6" t="s">
        <v>1384</v>
      </c>
      <c r="F83" s="6" t="s">
        <v>954</v>
      </c>
      <c r="G83" s="6" t="s">
        <v>860</v>
      </c>
      <c r="H83" s="6" t="s">
        <v>727</v>
      </c>
      <c r="M83" s="6">
        <v>800</v>
      </c>
      <c r="N83" s="6">
        <v>10</v>
      </c>
      <c r="O83" s="6">
        <v>1.5</v>
      </c>
      <c r="Q83" s="6" t="s">
        <v>861</v>
      </c>
      <c r="S83" s="6" t="s">
        <v>862</v>
      </c>
    </row>
    <row r="84" spans="1:19" ht="20.399999999999999" x14ac:dyDescent="0.25">
      <c r="A84" s="6">
        <v>1</v>
      </c>
      <c r="B84" s="6">
        <v>76</v>
      </c>
      <c r="C84" s="8">
        <v>36304</v>
      </c>
      <c r="D84" s="6" t="s">
        <v>995</v>
      </c>
      <c r="E84" s="6" t="s">
        <v>1384</v>
      </c>
      <c r="F84" s="6" t="s">
        <v>954</v>
      </c>
      <c r="G84" s="6" t="s">
        <v>863</v>
      </c>
      <c r="H84" s="6" t="s">
        <v>864</v>
      </c>
      <c r="M84" s="6">
        <v>800</v>
      </c>
      <c r="N84" s="6">
        <v>90</v>
      </c>
      <c r="O84" s="6">
        <v>1.5</v>
      </c>
      <c r="Q84" s="6" t="s">
        <v>865</v>
      </c>
      <c r="S84" s="6" t="s">
        <v>866</v>
      </c>
    </row>
    <row r="85" spans="1:19" ht="20.399999999999999" x14ac:dyDescent="0.25">
      <c r="A85" s="6">
        <v>1</v>
      </c>
      <c r="B85" s="6">
        <v>77</v>
      </c>
      <c r="C85" s="8">
        <v>36305</v>
      </c>
      <c r="D85" s="6" t="s">
        <v>995</v>
      </c>
      <c r="E85" s="6" t="s">
        <v>1384</v>
      </c>
      <c r="F85" s="6" t="s">
        <v>867</v>
      </c>
      <c r="G85" s="6" t="s">
        <v>868</v>
      </c>
      <c r="H85" s="6" t="s">
        <v>727</v>
      </c>
      <c r="M85" s="6">
        <v>800</v>
      </c>
      <c r="N85" s="6">
        <v>15</v>
      </c>
      <c r="O85" s="6">
        <v>1.5</v>
      </c>
      <c r="Q85" s="6" t="s">
        <v>869</v>
      </c>
      <c r="S85" s="6" t="s">
        <v>870</v>
      </c>
    </row>
    <row r="86" spans="1:19" ht="30.6" x14ac:dyDescent="0.25">
      <c r="A86" s="6">
        <v>1</v>
      </c>
      <c r="B86" s="6">
        <v>78</v>
      </c>
      <c r="C86" s="8">
        <v>36305</v>
      </c>
      <c r="D86" s="6" t="s">
        <v>995</v>
      </c>
      <c r="E86" s="6" t="s">
        <v>1384</v>
      </c>
      <c r="F86" s="6" t="s">
        <v>871</v>
      </c>
      <c r="G86" s="6" t="s">
        <v>872</v>
      </c>
      <c r="H86" s="6" t="s">
        <v>873</v>
      </c>
      <c r="M86" s="6">
        <v>800</v>
      </c>
      <c r="N86" s="6">
        <v>10</v>
      </c>
      <c r="O86" s="6">
        <v>1.5</v>
      </c>
      <c r="Q86" s="6" t="s">
        <v>874</v>
      </c>
      <c r="S86" s="6" t="s">
        <v>875</v>
      </c>
    </row>
    <row r="87" spans="1:19" ht="30.6" x14ac:dyDescent="0.25">
      <c r="A87" s="6">
        <v>1</v>
      </c>
      <c r="B87" s="6">
        <v>79</v>
      </c>
      <c r="C87" s="8">
        <v>36316</v>
      </c>
      <c r="D87" s="6" t="s">
        <v>995</v>
      </c>
      <c r="E87" s="6" t="s">
        <v>730</v>
      </c>
      <c r="F87" s="6" t="s">
        <v>876</v>
      </c>
      <c r="G87" s="6" t="s">
        <v>877</v>
      </c>
      <c r="H87" s="6" t="s">
        <v>878</v>
      </c>
      <c r="M87" s="6">
        <v>0</v>
      </c>
      <c r="N87" s="6">
        <v>30</v>
      </c>
      <c r="O87" s="6">
        <v>0</v>
      </c>
      <c r="Q87" s="6" t="s">
        <v>879</v>
      </c>
      <c r="S87" s="6" t="s">
        <v>880</v>
      </c>
    </row>
    <row r="88" spans="1:19" ht="30.6" x14ac:dyDescent="0.25">
      <c r="A88" s="6">
        <v>1</v>
      </c>
      <c r="B88" s="6">
        <v>80</v>
      </c>
      <c r="C88" s="8">
        <v>36316</v>
      </c>
      <c r="D88" s="6" t="s">
        <v>995</v>
      </c>
      <c r="E88" s="6" t="s">
        <v>730</v>
      </c>
      <c r="F88" s="6" t="s">
        <v>881</v>
      </c>
      <c r="G88" s="6" t="s">
        <v>954</v>
      </c>
      <c r="H88" s="6" t="s">
        <v>882</v>
      </c>
      <c r="M88" s="6">
        <v>0</v>
      </c>
      <c r="N88" s="6">
        <v>15</v>
      </c>
      <c r="O88" s="6">
        <v>0</v>
      </c>
      <c r="Q88" s="6" t="s">
        <v>743</v>
      </c>
      <c r="S88" s="6" t="s">
        <v>883</v>
      </c>
    </row>
    <row r="89" spans="1:19" ht="20.399999999999999" x14ac:dyDescent="0.25">
      <c r="A89" s="6">
        <v>1</v>
      </c>
      <c r="B89" s="6">
        <v>81</v>
      </c>
      <c r="C89" s="8">
        <v>36317</v>
      </c>
      <c r="D89" s="6" t="s">
        <v>995</v>
      </c>
      <c r="E89" s="6" t="s">
        <v>884</v>
      </c>
      <c r="F89" s="6" t="s">
        <v>885</v>
      </c>
      <c r="G89" s="6" t="s">
        <v>886</v>
      </c>
      <c r="H89" s="6" t="s">
        <v>887</v>
      </c>
      <c r="M89" s="6">
        <v>600</v>
      </c>
      <c r="N89" s="6">
        <v>15</v>
      </c>
      <c r="O89" s="6">
        <v>2</v>
      </c>
      <c r="R89" s="6" t="s">
        <v>888</v>
      </c>
      <c r="S89" s="6" t="s">
        <v>889</v>
      </c>
    </row>
    <row r="90" spans="1:19" ht="20.399999999999999" x14ac:dyDescent="0.25">
      <c r="A90" s="6">
        <v>1</v>
      </c>
      <c r="B90" s="6">
        <v>82</v>
      </c>
      <c r="C90" s="8">
        <v>36317</v>
      </c>
      <c r="D90" s="6" t="s">
        <v>995</v>
      </c>
      <c r="E90" s="6" t="s">
        <v>884</v>
      </c>
      <c r="F90" s="6" t="s">
        <v>890</v>
      </c>
      <c r="G90" s="6" t="s">
        <v>891</v>
      </c>
      <c r="H90" s="6" t="s">
        <v>892</v>
      </c>
      <c r="M90" s="6">
        <v>300</v>
      </c>
      <c r="N90" s="6">
        <v>35</v>
      </c>
      <c r="O90" s="6">
        <v>1</v>
      </c>
      <c r="Q90" s="6" t="s">
        <v>893</v>
      </c>
      <c r="R90" s="6" t="s">
        <v>888</v>
      </c>
      <c r="S90" s="6" t="s">
        <v>894</v>
      </c>
    </row>
    <row r="91" spans="1:19" ht="20.399999999999999" x14ac:dyDescent="0.25">
      <c r="A91" s="6">
        <v>1</v>
      </c>
      <c r="B91" s="6">
        <v>83</v>
      </c>
      <c r="C91" s="8">
        <v>36317</v>
      </c>
      <c r="D91" s="6" t="s">
        <v>995</v>
      </c>
      <c r="E91" s="6" t="s">
        <v>884</v>
      </c>
      <c r="F91" s="6" t="s">
        <v>895</v>
      </c>
      <c r="G91" s="6" t="s">
        <v>896</v>
      </c>
      <c r="H91" s="6" t="s">
        <v>897</v>
      </c>
      <c r="M91" s="6">
        <v>300</v>
      </c>
      <c r="N91" s="6">
        <v>15</v>
      </c>
      <c r="O91" s="6">
        <v>1</v>
      </c>
      <c r="Q91" s="6" t="s">
        <v>898</v>
      </c>
      <c r="R91" s="6" t="s">
        <v>888</v>
      </c>
      <c r="S91" s="6" t="s">
        <v>899</v>
      </c>
    </row>
    <row r="92" spans="1:19" s="13" customFormat="1" x14ac:dyDescent="0.25">
      <c r="C92" s="9" t="s">
        <v>900</v>
      </c>
      <c r="I92" s="14"/>
      <c r="J92" s="14"/>
    </row>
    <row r="93" spans="1:19" s="13" customFormat="1" x14ac:dyDescent="0.25">
      <c r="C93" s="15" t="s">
        <v>1446</v>
      </c>
      <c r="I93" s="14"/>
      <c r="J93" s="14"/>
    </row>
    <row r="94" spans="1:19" s="13" customFormat="1" x14ac:dyDescent="0.25">
      <c r="C94" s="15" t="s">
        <v>1447</v>
      </c>
      <c r="I94" s="14"/>
      <c r="J94" s="14"/>
    </row>
    <row r="95" spans="1:19" s="13" customFormat="1" x14ac:dyDescent="0.25">
      <c r="C95" s="15"/>
      <c r="E95" s="13" t="s">
        <v>1448</v>
      </c>
      <c r="I95" s="14"/>
      <c r="J95" s="14"/>
    </row>
    <row r="96" spans="1:19" s="13" customFormat="1" x14ac:dyDescent="0.25">
      <c r="C96" s="15" t="s">
        <v>1449</v>
      </c>
      <c r="I96" s="14"/>
      <c r="J96" s="14"/>
    </row>
    <row r="97" spans="1:19" s="13" customFormat="1" x14ac:dyDescent="0.25">
      <c r="C97" s="15" t="s">
        <v>1546</v>
      </c>
      <c r="I97" s="14"/>
      <c r="J97" s="14"/>
    </row>
    <row r="98" spans="1:19" s="13" customFormat="1" x14ac:dyDescent="0.25">
      <c r="C98" s="15" t="s">
        <v>1547</v>
      </c>
      <c r="I98" s="14"/>
      <c r="J98" s="14"/>
    </row>
    <row r="99" spans="1:19" s="13" customFormat="1" x14ac:dyDescent="0.25">
      <c r="C99" s="15" t="s">
        <v>1548</v>
      </c>
      <c r="I99" s="14"/>
      <c r="J99" s="14"/>
    </row>
    <row r="100" spans="1:19" s="13" customFormat="1" x14ac:dyDescent="0.25">
      <c r="C100" s="16" t="s">
        <v>1549</v>
      </c>
      <c r="I100" s="14"/>
      <c r="J100" s="14"/>
    </row>
    <row r="101" spans="1:19" ht="30.6" x14ac:dyDescent="0.25">
      <c r="A101" s="6">
        <v>1</v>
      </c>
      <c r="B101" s="6">
        <v>84</v>
      </c>
      <c r="C101" s="8">
        <v>36328</v>
      </c>
      <c r="D101" s="6" t="s">
        <v>995</v>
      </c>
      <c r="E101" s="6" t="s">
        <v>1550</v>
      </c>
      <c r="F101" s="6" t="s">
        <v>1551</v>
      </c>
      <c r="G101" s="6" t="s">
        <v>1552</v>
      </c>
      <c r="H101" s="6" t="s">
        <v>1553</v>
      </c>
      <c r="M101" s="6">
        <v>300</v>
      </c>
      <c r="N101" s="6">
        <v>3</v>
      </c>
      <c r="O101" s="6">
        <v>1</v>
      </c>
      <c r="Q101" s="6" t="s">
        <v>1554</v>
      </c>
      <c r="R101" s="6" t="s">
        <v>1555</v>
      </c>
      <c r="S101" s="6" t="s">
        <v>1556</v>
      </c>
    </row>
    <row r="102" spans="1:19" ht="20.399999999999999" x14ac:dyDescent="0.25">
      <c r="A102" s="6">
        <v>1</v>
      </c>
      <c r="B102" s="6">
        <v>85</v>
      </c>
      <c r="C102" s="8">
        <v>36328</v>
      </c>
      <c r="D102" s="6" t="s">
        <v>995</v>
      </c>
      <c r="E102" s="6" t="s">
        <v>730</v>
      </c>
      <c r="F102" s="6" t="s">
        <v>1557</v>
      </c>
      <c r="G102" s="6" t="s">
        <v>1558</v>
      </c>
      <c r="H102" s="6" t="s">
        <v>795</v>
      </c>
      <c r="M102" s="6">
        <v>450</v>
      </c>
      <c r="N102" s="6">
        <v>15</v>
      </c>
      <c r="O102" s="6">
        <v>2</v>
      </c>
      <c r="Q102" s="6" t="s">
        <v>796</v>
      </c>
      <c r="S102" s="6" t="s">
        <v>901</v>
      </c>
    </row>
    <row r="103" spans="1:19" ht="20.399999999999999" x14ac:dyDescent="0.25">
      <c r="A103" s="6">
        <v>1</v>
      </c>
      <c r="B103" s="6">
        <v>86</v>
      </c>
      <c r="C103" s="8">
        <v>36330</v>
      </c>
      <c r="D103" s="6" t="s">
        <v>995</v>
      </c>
      <c r="E103" s="6" t="s">
        <v>1550</v>
      </c>
      <c r="F103" s="6" t="s">
        <v>902</v>
      </c>
      <c r="G103" s="6" t="s">
        <v>903</v>
      </c>
      <c r="H103" s="6" t="s">
        <v>904</v>
      </c>
      <c r="M103" s="6">
        <v>600</v>
      </c>
      <c r="N103" s="6">
        <v>25</v>
      </c>
      <c r="O103" s="6">
        <v>2</v>
      </c>
      <c r="S103" s="6" t="s">
        <v>905</v>
      </c>
    </row>
    <row r="104" spans="1:19" ht="30.6" x14ac:dyDescent="0.25">
      <c r="A104" s="6">
        <v>1</v>
      </c>
      <c r="B104" s="6">
        <v>87</v>
      </c>
      <c r="C104" s="8">
        <v>36330</v>
      </c>
      <c r="D104" s="6" t="s">
        <v>995</v>
      </c>
      <c r="E104" s="6" t="s">
        <v>1550</v>
      </c>
      <c r="F104" s="6" t="s">
        <v>906</v>
      </c>
      <c r="G104" s="6" t="s">
        <v>907</v>
      </c>
      <c r="H104" s="6" t="s">
        <v>727</v>
      </c>
      <c r="M104" s="6">
        <v>700</v>
      </c>
      <c r="N104" s="6">
        <v>20</v>
      </c>
      <c r="O104" s="6">
        <v>3</v>
      </c>
      <c r="S104" s="6" t="s">
        <v>908</v>
      </c>
    </row>
    <row r="105" spans="1:19" ht="20.399999999999999" x14ac:dyDescent="0.25">
      <c r="A105" s="6">
        <v>1</v>
      </c>
      <c r="B105" s="6">
        <v>88</v>
      </c>
      <c r="C105" s="8">
        <v>36330</v>
      </c>
      <c r="D105" s="6" t="s">
        <v>995</v>
      </c>
      <c r="E105" s="6" t="s">
        <v>909</v>
      </c>
      <c r="F105" s="6" t="s">
        <v>910</v>
      </c>
      <c r="G105" s="6" t="s">
        <v>911</v>
      </c>
      <c r="H105" s="6" t="s">
        <v>912</v>
      </c>
      <c r="M105" s="6">
        <v>300</v>
      </c>
      <c r="N105" s="6">
        <v>10</v>
      </c>
      <c r="O105" s="6">
        <v>1</v>
      </c>
      <c r="S105" s="6" t="s">
        <v>913</v>
      </c>
    </row>
    <row r="106" spans="1:19" ht="40.799999999999997" x14ac:dyDescent="0.25">
      <c r="A106" s="6">
        <v>1</v>
      </c>
      <c r="B106" s="6">
        <v>89</v>
      </c>
      <c r="C106" s="8">
        <v>36330</v>
      </c>
      <c r="D106" s="6" t="s">
        <v>995</v>
      </c>
      <c r="E106" s="6" t="s">
        <v>914</v>
      </c>
      <c r="F106" s="6" t="s">
        <v>915</v>
      </c>
      <c r="G106" s="6" t="s">
        <v>916</v>
      </c>
      <c r="H106" s="6" t="s">
        <v>917</v>
      </c>
      <c r="M106" s="6">
        <v>900</v>
      </c>
      <c r="N106" s="6">
        <v>60</v>
      </c>
      <c r="O106" s="6">
        <v>4</v>
      </c>
      <c r="Q106" s="6" t="s">
        <v>918</v>
      </c>
      <c r="R106" s="6" t="s">
        <v>919</v>
      </c>
      <c r="S106" s="6" t="s">
        <v>920</v>
      </c>
    </row>
    <row r="107" spans="1:19" ht="30.6" x14ac:dyDescent="0.25">
      <c r="A107" s="6">
        <v>1</v>
      </c>
      <c r="B107" s="6">
        <v>90</v>
      </c>
      <c r="C107" s="8">
        <v>36331</v>
      </c>
      <c r="D107" s="6" t="s">
        <v>995</v>
      </c>
      <c r="E107" s="6" t="s">
        <v>921</v>
      </c>
      <c r="F107" s="6" t="s">
        <v>922</v>
      </c>
      <c r="G107" s="6" t="s">
        <v>923</v>
      </c>
      <c r="H107" s="6" t="s">
        <v>924</v>
      </c>
      <c r="M107" s="6">
        <v>900</v>
      </c>
      <c r="N107" s="6">
        <v>20</v>
      </c>
      <c r="O107" s="6">
        <v>2</v>
      </c>
      <c r="Q107" s="6" t="s">
        <v>925</v>
      </c>
      <c r="S107" s="6" t="s">
        <v>926</v>
      </c>
    </row>
    <row r="108" spans="1:19" ht="20.399999999999999" x14ac:dyDescent="0.25">
      <c r="A108" s="6">
        <v>1</v>
      </c>
      <c r="B108" s="6">
        <v>91</v>
      </c>
      <c r="C108" s="8">
        <v>36331</v>
      </c>
      <c r="D108" s="6" t="s">
        <v>995</v>
      </c>
      <c r="E108" s="6" t="s">
        <v>921</v>
      </c>
      <c r="F108" s="6" t="s">
        <v>922</v>
      </c>
      <c r="G108" s="6" t="s">
        <v>927</v>
      </c>
      <c r="H108" s="6" t="s">
        <v>928</v>
      </c>
      <c r="M108" s="6">
        <v>900</v>
      </c>
      <c r="N108" s="6">
        <v>15</v>
      </c>
      <c r="O108" s="6">
        <v>2</v>
      </c>
      <c r="Q108" s="6" t="s">
        <v>929</v>
      </c>
      <c r="S108" s="6" t="s">
        <v>930</v>
      </c>
    </row>
    <row r="109" spans="1:19" ht="40.799999999999997" x14ac:dyDescent="0.25">
      <c r="A109" s="6">
        <v>1</v>
      </c>
      <c r="B109" s="6">
        <v>92</v>
      </c>
      <c r="C109" s="8">
        <v>36331</v>
      </c>
      <c r="D109" s="6" t="s">
        <v>995</v>
      </c>
      <c r="E109" s="6" t="s">
        <v>931</v>
      </c>
      <c r="F109" s="6" t="s">
        <v>932</v>
      </c>
      <c r="G109" s="6" t="s">
        <v>1467</v>
      </c>
      <c r="H109" s="6" t="s">
        <v>1477</v>
      </c>
      <c r="M109" s="6">
        <v>0</v>
      </c>
      <c r="N109" s="6">
        <v>5</v>
      </c>
      <c r="O109" s="6">
        <v>0</v>
      </c>
      <c r="S109" s="6" t="s">
        <v>1478</v>
      </c>
    </row>
    <row r="110" spans="1:19" ht="40.799999999999997" x14ac:dyDescent="0.25">
      <c r="A110" s="6">
        <v>1</v>
      </c>
      <c r="B110" s="6">
        <v>93</v>
      </c>
      <c r="C110" s="8">
        <v>36332</v>
      </c>
      <c r="D110" s="6" t="s">
        <v>995</v>
      </c>
      <c r="E110" s="6" t="s">
        <v>921</v>
      </c>
      <c r="F110" s="6" t="s">
        <v>1479</v>
      </c>
      <c r="G110" s="6" t="s">
        <v>1480</v>
      </c>
      <c r="H110" s="6" t="s">
        <v>1481</v>
      </c>
      <c r="M110" s="6">
        <v>900</v>
      </c>
      <c r="N110" s="6">
        <v>13</v>
      </c>
      <c r="O110" s="6">
        <v>2</v>
      </c>
      <c r="Q110" s="6" t="s">
        <v>1482</v>
      </c>
      <c r="S110" s="6" t="s">
        <v>1483</v>
      </c>
    </row>
    <row r="111" spans="1:19" ht="30.6" x14ac:dyDescent="0.25">
      <c r="A111" s="6">
        <v>1</v>
      </c>
      <c r="B111" s="6">
        <v>94</v>
      </c>
      <c r="C111" s="8">
        <v>36333</v>
      </c>
      <c r="D111" s="6" t="s">
        <v>995</v>
      </c>
      <c r="E111" s="6" t="s">
        <v>730</v>
      </c>
      <c r="F111" s="6" t="s">
        <v>1484</v>
      </c>
      <c r="G111" s="6" t="s">
        <v>583</v>
      </c>
      <c r="H111" s="6" t="s">
        <v>585</v>
      </c>
      <c r="M111" s="6">
        <v>0</v>
      </c>
      <c r="N111" s="6">
        <v>90</v>
      </c>
      <c r="O111" s="6">
        <v>0</v>
      </c>
      <c r="Q111" s="6" t="s">
        <v>586</v>
      </c>
      <c r="S111" s="6" t="s">
        <v>1639</v>
      </c>
    </row>
    <row r="112" spans="1:19" ht="30.6" x14ac:dyDescent="0.25">
      <c r="A112" s="6">
        <v>1</v>
      </c>
      <c r="B112" s="6">
        <v>95</v>
      </c>
      <c r="C112" s="8">
        <v>36335</v>
      </c>
      <c r="D112" s="6" t="s">
        <v>995</v>
      </c>
      <c r="E112" s="6" t="s">
        <v>1640</v>
      </c>
      <c r="F112" s="6" t="s">
        <v>1641</v>
      </c>
      <c r="G112" s="6" t="s">
        <v>1642</v>
      </c>
      <c r="H112" s="6" t="s">
        <v>1643</v>
      </c>
      <c r="M112" s="6">
        <v>450</v>
      </c>
      <c r="N112" s="6">
        <v>20</v>
      </c>
      <c r="O112" s="6">
        <v>1</v>
      </c>
      <c r="S112" s="6" t="s">
        <v>1644</v>
      </c>
    </row>
    <row r="113" spans="1:19" ht="30.6" x14ac:dyDescent="0.25">
      <c r="A113" s="6">
        <v>1</v>
      </c>
      <c r="B113" s="6">
        <v>96</v>
      </c>
      <c r="C113" s="8">
        <v>36343</v>
      </c>
      <c r="D113" s="6" t="s">
        <v>995</v>
      </c>
      <c r="E113" s="6" t="s">
        <v>730</v>
      </c>
      <c r="F113" s="6" t="s">
        <v>1645</v>
      </c>
      <c r="G113" s="6" t="s">
        <v>1646</v>
      </c>
      <c r="H113" s="6" t="s">
        <v>1647</v>
      </c>
      <c r="M113" s="6">
        <v>400</v>
      </c>
      <c r="N113" s="6">
        <v>90</v>
      </c>
      <c r="O113" s="6">
        <v>1</v>
      </c>
      <c r="Q113" s="6" t="s">
        <v>1648</v>
      </c>
      <c r="S113" s="6" t="s">
        <v>1649</v>
      </c>
    </row>
    <row r="114" spans="1:19" ht="20.399999999999999" x14ac:dyDescent="0.25">
      <c r="A114" s="6">
        <v>1</v>
      </c>
      <c r="B114" s="6">
        <v>97</v>
      </c>
      <c r="C114" s="8">
        <v>36345</v>
      </c>
      <c r="D114" s="6" t="s">
        <v>995</v>
      </c>
      <c r="E114" s="6" t="s">
        <v>1650</v>
      </c>
      <c r="F114" s="6" t="s">
        <v>672</v>
      </c>
      <c r="G114" s="6" t="s">
        <v>673</v>
      </c>
      <c r="H114" s="6" t="s">
        <v>674</v>
      </c>
      <c r="M114" s="6">
        <v>700</v>
      </c>
      <c r="N114" s="6">
        <v>20</v>
      </c>
      <c r="O114" s="6">
        <v>3</v>
      </c>
      <c r="R114" s="6" t="s">
        <v>675</v>
      </c>
      <c r="S114" s="6" t="s">
        <v>676</v>
      </c>
    </row>
    <row r="115" spans="1:19" ht="20.399999999999999" x14ac:dyDescent="0.25">
      <c r="A115" s="6">
        <v>1</v>
      </c>
      <c r="B115" s="6">
        <v>98</v>
      </c>
      <c r="C115" s="8">
        <v>36349</v>
      </c>
      <c r="D115" s="6" t="s">
        <v>995</v>
      </c>
      <c r="E115" s="6" t="s">
        <v>677</v>
      </c>
      <c r="F115" s="6" t="s">
        <v>678</v>
      </c>
      <c r="G115" s="6" t="s">
        <v>679</v>
      </c>
      <c r="H115" s="6" t="s">
        <v>718</v>
      </c>
      <c r="M115" s="6">
        <v>100</v>
      </c>
      <c r="N115" s="6">
        <v>2</v>
      </c>
      <c r="O115" s="6">
        <v>0</v>
      </c>
      <c r="R115" s="6" t="s">
        <v>675</v>
      </c>
      <c r="S115" s="6" t="s">
        <v>680</v>
      </c>
    </row>
    <row r="116" spans="1:19" ht="20.399999999999999" x14ac:dyDescent="0.25">
      <c r="A116" s="6">
        <v>1</v>
      </c>
      <c r="B116" s="6">
        <v>99</v>
      </c>
      <c r="C116" s="8">
        <v>36349</v>
      </c>
      <c r="D116" s="6" t="s">
        <v>995</v>
      </c>
      <c r="E116" s="6" t="s">
        <v>677</v>
      </c>
      <c r="F116" s="6" t="s">
        <v>681</v>
      </c>
      <c r="G116" s="6" t="s">
        <v>682</v>
      </c>
      <c r="H116" s="6" t="s">
        <v>718</v>
      </c>
      <c r="M116" s="6">
        <v>100</v>
      </c>
      <c r="N116" s="6">
        <v>2</v>
      </c>
      <c r="O116" s="6">
        <v>0</v>
      </c>
    </row>
    <row r="117" spans="1:19" ht="20.399999999999999" x14ac:dyDescent="0.25">
      <c r="A117" s="6">
        <v>1</v>
      </c>
      <c r="B117" s="6">
        <v>100</v>
      </c>
      <c r="C117" s="8">
        <v>36349</v>
      </c>
      <c r="D117" s="6" t="s">
        <v>995</v>
      </c>
      <c r="E117" s="6" t="s">
        <v>677</v>
      </c>
      <c r="F117" s="6" t="s">
        <v>683</v>
      </c>
      <c r="G117" s="6" t="s">
        <v>682</v>
      </c>
      <c r="H117" s="6" t="s">
        <v>718</v>
      </c>
      <c r="M117" s="6">
        <v>150</v>
      </c>
      <c r="N117" s="6">
        <v>3</v>
      </c>
      <c r="O117" s="6">
        <v>0</v>
      </c>
    </row>
    <row r="118" spans="1:19" x14ac:dyDescent="0.25">
      <c r="A118" s="6">
        <v>1</v>
      </c>
      <c r="B118" s="6">
        <v>101</v>
      </c>
      <c r="C118" s="8">
        <v>36351</v>
      </c>
      <c r="D118" s="6" t="s">
        <v>995</v>
      </c>
      <c r="E118" s="6" t="s">
        <v>748</v>
      </c>
      <c r="F118" s="6" t="s">
        <v>684</v>
      </c>
      <c r="G118" s="6" t="s">
        <v>904</v>
      </c>
      <c r="H118" s="6" t="s">
        <v>685</v>
      </c>
      <c r="M118" s="6">
        <v>300</v>
      </c>
      <c r="N118" s="6">
        <v>4</v>
      </c>
      <c r="O118" s="6">
        <v>1</v>
      </c>
      <c r="S118" s="6" t="s">
        <v>686</v>
      </c>
    </row>
    <row r="119" spans="1:19" ht="20.399999999999999" x14ac:dyDescent="0.25">
      <c r="A119" s="6">
        <v>1</v>
      </c>
      <c r="B119" s="6">
        <v>102</v>
      </c>
      <c r="C119" s="8">
        <v>36351</v>
      </c>
      <c r="D119" s="6" t="s">
        <v>995</v>
      </c>
      <c r="E119" s="6" t="s">
        <v>748</v>
      </c>
      <c r="F119" s="6" t="s">
        <v>687</v>
      </c>
      <c r="G119" s="10" t="s">
        <v>688</v>
      </c>
      <c r="H119" s="6" t="s">
        <v>718</v>
      </c>
      <c r="M119" s="6">
        <v>300</v>
      </c>
      <c r="N119" s="6">
        <v>25</v>
      </c>
      <c r="O119" s="6">
        <v>1</v>
      </c>
      <c r="S119" s="6" t="s">
        <v>689</v>
      </c>
    </row>
    <row r="120" spans="1:19" ht="20.399999999999999" x14ac:dyDescent="0.25">
      <c r="A120" s="6">
        <v>1</v>
      </c>
      <c r="B120" s="6">
        <v>103</v>
      </c>
      <c r="C120" s="8">
        <v>36351</v>
      </c>
      <c r="D120" s="6" t="s">
        <v>995</v>
      </c>
      <c r="E120" s="6" t="s">
        <v>748</v>
      </c>
      <c r="F120" s="6" t="s">
        <v>690</v>
      </c>
      <c r="G120" s="6" t="s">
        <v>691</v>
      </c>
      <c r="H120" s="6" t="s">
        <v>697</v>
      </c>
      <c r="M120" s="6">
        <v>350</v>
      </c>
      <c r="N120" s="6">
        <v>5</v>
      </c>
      <c r="O120" s="6">
        <v>2</v>
      </c>
      <c r="S120" s="6" t="s">
        <v>698</v>
      </c>
    </row>
    <row r="121" spans="1:19" ht="20.399999999999999" x14ac:dyDescent="0.25">
      <c r="A121" s="6">
        <v>1</v>
      </c>
      <c r="B121" s="6">
        <v>104</v>
      </c>
      <c r="C121" s="8">
        <v>36351</v>
      </c>
      <c r="D121" s="6" t="s">
        <v>995</v>
      </c>
      <c r="E121" s="6" t="s">
        <v>748</v>
      </c>
      <c r="F121" s="6" t="s">
        <v>699</v>
      </c>
      <c r="G121" s="6" t="s">
        <v>700</v>
      </c>
      <c r="H121" s="6" t="s">
        <v>701</v>
      </c>
      <c r="I121" s="7">
        <v>4</v>
      </c>
      <c r="J121" s="7">
        <v>-4</v>
      </c>
      <c r="L121" s="6">
        <v>550</v>
      </c>
      <c r="M121" s="6">
        <v>600</v>
      </c>
      <c r="N121" s="6">
        <v>60</v>
      </c>
      <c r="O121" s="6">
        <v>0</v>
      </c>
      <c r="P121" s="6">
        <v>12</v>
      </c>
      <c r="Q121" s="6" t="s">
        <v>702</v>
      </c>
      <c r="S121" s="6" t="s">
        <v>703</v>
      </c>
    </row>
    <row r="122" spans="1:19" ht="20.399999999999999" x14ac:dyDescent="0.25">
      <c r="A122" s="6">
        <v>1</v>
      </c>
      <c r="B122" s="6">
        <v>105</v>
      </c>
      <c r="C122" s="8">
        <v>36351</v>
      </c>
      <c r="D122" s="6" t="s">
        <v>995</v>
      </c>
      <c r="E122" s="6" t="s">
        <v>748</v>
      </c>
      <c r="F122" s="6" t="s">
        <v>704</v>
      </c>
      <c r="G122" s="6" t="s">
        <v>705</v>
      </c>
      <c r="H122" s="6" t="s">
        <v>706</v>
      </c>
      <c r="J122" s="7">
        <v>-4.0999999999999996</v>
      </c>
      <c r="L122" s="6">
        <v>180</v>
      </c>
      <c r="M122" s="6">
        <v>600</v>
      </c>
      <c r="N122" s="6">
        <v>45</v>
      </c>
      <c r="O122" s="6">
        <v>2</v>
      </c>
      <c r="Q122" s="6" t="s">
        <v>1345</v>
      </c>
      <c r="S122" s="6" t="s">
        <v>1346</v>
      </c>
    </row>
    <row r="123" spans="1:19" ht="20.399999999999999" x14ac:dyDescent="0.25">
      <c r="A123" s="6">
        <v>1</v>
      </c>
      <c r="B123" s="6">
        <v>106</v>
      </c>
      <c r="C123" s="8">
        <v>36352</v>
      </c>
      <c r="D123" s="6" t="s">
        <v>995</v>
      </c>
      <c r="E123" s="6" t="s">
        <v>748</v>
      </c>
      <c r="F123" s="6" t="s">
        <v>1347</v>
      </c>
      <c r="M123" s="6">
        <v>250</v>
      </c>
      <c r="N123" s="6">
        <v>3</v>
      </c>
      <c r="O123" s="6">
        <v>1</v>
      </c>
      <c r="Q123" s="6" t="s">
        <v>1348</v>
      </c>
      <c r="R123" s="6" t="s">
        <v>1349</v>
      </c>
      <c r="S123" s="6" t="s">
        <v>1350</v>
      </c>
    </row>
    <row r="124" spans="1:19" x14ac:dyDescent="0.25">
      <c r="A124" s="6">
        <v>1</v>
      </c>
      <c r="B124" s="6">
        <v>107</v>
      </c>
      <c r="C124" s="8">
        <v>36352</v>
      </c>
      <c r="D124" s="6" t="s">
        <v>995</v>
      </c>
      <c r="E124" s="6" t="s">
        <v>748</v>
      </c>
      <c r="F124" s="6" t="s">
        <v>750</v>
      </c>
      <c r="G124" s="6" t="s">
        <v>1351</v>
      </c>
      <c r="N124" s="6">
        <v>10</v>
      </c>
      <c r="O124" s="6">
        <v>1</v>
      </c>
    </row>
    <row r="125" spans="1:19" ht="20.399999999999999" x14ac:dyDescent="0.25">
      <c r="A125" s="6">
        <v>1</v>
      </c>
      <c r="B125" s="6">
        <v>108</v>
      </c>
      <c r="C125" s="8">
        <v>36352</v>
      </c>
      <c r="D125" s="6" t="s">
        <v>995</v>
      </c>
      <c r="E125" s="6" t="s">
        <v>748</v>
      </c>
      <c r="F125" s="6" t="s">
        <v>750</v>
      </c>
      <c r="H125" s="6" t="s">
        <v>1352</v>
      </c>
      <c r="N125" s="6">
        <v>5</v>
      </c>
      <c r="O125" s="6">
        <v>1</v>
      </c>
      <c r="S125" s="6" t="s">
        <v>1353</v>
      </c>
    </row>
    <row r="126" spans="1:19" x14ac:dyDescent="0.25">
      <c r="A126" s="6">
        <v>1</v>
      </c>
      <c r="B126" s="6">
        <v>109</v>
      </c>
      <c r="C126" s="8">
        <v>36376</v>
      </c>
      <c r="D126" s="6" t="s">
        <v>995</v>
      </c>
      <c r="E126" s="6" t="s">
        <v>1354</v>
      </c>
      <c r="F126" s="6" t="s">
        <v>1355</v>
      </c>
      <c r="G126" s="6" t="s">
        <v>682</v>
      </c>
      <c r="H126" s="6" t="s">
        <v>1356</v>
      </c>
      <c r="I126" s="7">
        <v>1</v>
      </c>
      <c r="J126" s="7">
        <v>-4</v>
      </c>
      <c r="M126" s="6">
        <v>600</v>
      </c>
      <c r="N126" s="6">
        <v>11</v>
      </c>
      <c r="O126" s="6">
        <v>2</v>
      </c>
      <c r="Q126" s="6" t="s">
        <v>1357</v>
      </c>
    </row>
    <row r="127" spans="1:19" x14ac:dyDescent="0.25">
      <c r="A127" s="6">
        <v>1</v>
      </c>
      <c r="B127" s="6">
        <v>110</v>
      </c>
      <c r="C127" s="8">
        <v>36376</v>
      </c>
      <c r="D127" s="6" t="s">
        <v>995</v>
      </c>
      <c r="E127" s="6" t="s">
        <v>1354</v>
      </c>
      <c r="F127" s="6" t="s">
        <v>1355</v>
      </c>
      <c r="G127" s="6" t="s">
        <v>682</v>
      </c>
      <c r="H127" s="6" t="s">
        <v>1358</v>
      </c>
      <c r="I127" s="7">
        <v>1</v>
      </c>
      <c r="J127" s="7">
        <v>-4</v>
      </c>
      <c r="M127" s="6">
        <v>600</v>
      </c>
      <c r="N127" s="6">
        <v>12</v>
      </c>
      <c r="O127" s="6">
        <v>2</v>
      </c>
      <c r="Q127" s="6" t="s">
        <v>1359</v>
      </c>
    </row>
    <row r="128" spans="1:19" x14ac:dyDescent="0.25">
      <c r="A128" s="6">
        <v>1</v>
      </c>
      <c r="B128" s="6">
        <v>111</v>
      </c>
      <c r="C128" s="8">
        <v>36382</v>
      </c>
      <c r="D128" s="6" t="s">
        <v>995</v>
      </c>
      <c r="E128" s="6" t="s">
        <v>1354</v>
      </c>
      <c r="F128" s="6" t="s">
        <v>1360</v>
      </c>
      <c r="G128" s="6" t="s">
        <v>1361</v>
      </c>
      <c r="H128" s="6" t="s">
        <v>1356</v>
      </c>
      <c r="I128" s="7">
        <v>1</v>
      </c>
      <c r="J128" s="7">
        <v>-3.8</v>
      </c>
      <c r="M128" s="6">
        <v>600</v>
      </c>
      <c r="N128" s="6">
        <v>13</v>
      </c>
      <c r="O128" s="6">
        <v>4</v>
      </c>
      <c r="Q128" s="6" t="s">
        <v>1359</v>
      </c>
    </row>
    <row r="129" spans="1:19" x14ac:dyDescent="0.25">
      <c r="A129" s="6">
        <v>1</v>
      </c>
      <c r="B129" s="6">
        <v>112</v>
      </c>
      <c r="C129" s="8">
        <v>36383</v>
      </c>
      <c r="D129" s="6" t="s">
        <v>995</v>
      </c>
      <c r="E129" s="6" t="s">
        <v>1354</v>
      </c>
      <c r="F129" s="6" t="s">
        <v>1360</v>
      </c>
      <c r="G129" s="6" t="s">
        <v>682</v>
      </c>
      <c r="H129" s="6" t="s">
        <v>1362</v>
      </c>
      <c r="I129" s="7">
        <v>1</v>
      </c>
      <c r="J129" s="7">
        <v>-3.4</v>
      </c>
      <c r="M129" s="6">
        <v>500</v>
      </c>
      <c r="N129" s="6">
        <v>11</v>
      </c>
      <c r="O129" s="6">
        <v>2</v>
      </c>
      <c r="Q129" s="6" t="s">
        <v>1359</v>
      </c>
    </row>
    <row r="130" spans="1:19" ht="20.399999999999999" x14ac:dyDescent="0.25">
      <c r="A130" s="6">
        <v>1</v>
      </c>
      <c r="B130" s="6">
        <v>113</v>
      </c>
      <c r="C130" s="8">
        <v>36383</v>
      </c>
      <c r="D130" s="6" t="s">
        <v>995</v>
      </c>
      <c r="E130" s="6" t="s">
        <v>1354</v>
      </c>
      <c r="F130" s="6" t="s">
        <v>1363</v>
      </c>
      <c r="G130" s="6" t="s">
        <v>682</v>
      </c>
      <c r="H130" s="6" t="s">
        <v>1364</v>
      </c>
      <c r="I130" s="7">
        <v>1</v>
      </c>
      <c r="J130" s="7">
        <v>-4</v>
      </c>
      <c r="M130" s="6">
        <v>500</v>
      </c>
      <c r="N130" s="6">
        <v>8</v>
      </c>
      <c r="O130" s="6">
        <v>2</v>
      </c>
      <c r="Q130" s="6" t="s">
        <v>1359</v>
      </c>
    </row>
    <row r="131" spans="1:19" x14ac:dyDescent="0.25">
      <c r="A131" s="6">
        <v>1</v>
      </c>
      <c r="B131" s="6">
        <v>114</v>
      </c>
      <c r="C131" s="8">
        <v>36383</v>
      </c>
      <c r="D131" s="6" t="s">
        <v>995</v>
      </c>
      <c r="E131" s="6" t="s">
        <v>1354</v>
      </c>
      <c r="F131" s="6" t="s">
        <v>1363</v>
      </c>
      <c r="G131" s="6" t="s">
        <v>682</v>
      </c>
      <c r="H131" s="6" t="s">
        <v>1365</v>
      </c>
      <c r="I131" s="7">
        <v>1</v>
      </c>
      <c r="J131" s="7">
        <v>-6.5</v>
      </c>
      <c r="Q131" s="6" t="s">
        <v>1366</v>
      </c>
      <c r="S131" s="6" t="s">
        <v>1367</v>
      </c>
    </row>
    <row r="132" spans="1:19" ht="20.399999999999999" x14ac:dyDescent="0.25">
      <c r="A132" s="6">
        <v>1</v>
      </c>
      <c r="B132" s="6">
        <v>115</v>
      </c>
      <c r="C132" s="8">
        <v>36383</v>
      </c>
      <c r="D132" s="6" t="s">
        <v>995</v>
      </c>
      <c r="E132" s="6" t="s">
        <v>1354</v>
      </c>
      <c r="F132" s="6" t="s">
        <v>603</v>
      </c>
      <c r="G132" s="6" t="s">
        <v>604</v>
      </c>
      <c r="H132" s="6" t="s">
        <v>605</v>
      </c>
      <c r="I132" s="7">
        <v>6</v>
      </c>
      <c r="J132" s="7">
        <v>-4.5999999999999996</v>
      </c>
      <c r="K132" s="6">
        <v>2360</v>
      </c>
      <c r="L132" s="6">
        <v>820</v>
      </c>
      <c r="M132" s="6">
        <v>0</v>
      </c>
      <c r="N132" s="6">
        <v>80</v>
      </c>
      <c r="O132" s="6">
        <v>0</v>
      </c>
      <c r="P132" s="6">
        <v>9</v>
      </c>
      <c r="Q132" s="6" t="s">
        <v>606</v>
      </c>
      <c r="S132" s="6" t="s">
        <v>607</v>
      </c>
    </row>
    <row r="133" spans="1:19" x14ac:dyDescent="0.25">
      <c r="A133" s="6">
        <v>1</v>
      </c>
      <c r="B133" s="6">
        <v>116</v>
      </c>
      <c r="C133" s="8">
        <v>36384</v>
      </c>
      <c r="D133" s="6" t="s">
        <v>995</v>
      </c>
      <c r="E133" s="6" t="s">
        <v>1354</v>
      </c>
      <c r="F133" s="6" t="s">
        <v>1355</v>
      </c>
      <c r="G133" s="6" t="s">
        <v>682</v>
      </c>
      <c r="H133" s="6" t="s">
        <v>608</v>
      </c>
      <c r="M133" s="6">
        <v>600</v>
      </c>
      <c r="N133" s="6">
        <v>8</v>
      </c>
      <c r="O133" s="6">
        <v>3</v>
      </c>
      <c r="Q133" s="6" t="s">
        <v>609</v>
      </c>
      <c r="S133" s="6" t="s">
        <v>610</v>
      </c>
    </row>
    <row r="134" spans="1:19" x14ac:dyDescent="0.25">
      <c r="A134" s="6">
        <v>1</v>
      </c>
      <c r="B134" s="6">
        <v>117</v>
      </c>
      <c r="C134" s="8">
        <v>36384</v>
      </c>
      <c r="D134" s="6" t="s">
        <v>995</v>
      </c>
      <c r="E134" s="6" t="s">
        <v>1354</v>
      </c>
      <c r="F134" s="6" t="s">
        <v>1355</v>
      </c>
      <c r="G134" s="6" t="s">
        <v>682</v>
      </c>
      <c r="H134" s="6" t="s">
        <v>608</v>
      </c>
      <c r="M134" s="6">
        <v>600</v>
      </c>
      <c r="N134" s="6">
        <v>8</v>
      </c>
      <c r="O134" s="6">
        <v>3</v>
      </c>
      <c r="Q134" s="6" t="s">
        <v>609</v>
      </c>
      <c r="S134" s="6" t="s">
        <v>610</v>
      </c>
    </row>
    <row r="135" spans="1:19" ht="20.399999999999999" x14ac:dyDescent="0.25">
      <c r="A135" s="6">
        <v>1</v>
      </c>
      <c r="B135" s="6">
        <v>118</v>
      </c>
      <c r="C135" s="8">
        <v>36384</v>
      </c>
      <c r="D135" s="6" t="s">
        <v>995</v>
      </c>
      <c r="E135" s="6" t="s">
        <v>1354</v>
      </c>
      <c r="F135" s="6" t="s">
        <v>611</v>
      </c>
      <c r="G135" s="6" t="s">
        <v>615</v>
      </c>
      <c r="H135" s="6" t="s">
        <v>616</v>
      </c>
      <c r="I135" s="7">
        <v>3</v>
      </c>
      <c r="J135" s="7">
        <v>-4.4000000000000004</v>
      </c>
      <c r="K135" s="6">
        <v>1562</v>
      </c>
      <c r="L135" s="6">
        <v>22</v>
      </c>
      <c r="M135" s="6">
        <v>600</v>
      </c>
      <c r="N135" s="6">
        <v>28</v>
      </c>
      <c r="O135" s="6">
        <v>4</v>
      </c>
      <c r="S135" s="6" t="s">
        <v>617</v>
      </c>
    </row>
    <row r="136" spans="1:19" x14ac:dyDescent="0.25">
      <c r="A136" s="6">
        <v>1</v>
      </c>
      <c r="B136" s="6">
        <v>119</v>
      </c>
      <c r="C136" s="8">
        <v>36390</v>
      </c>
      <c r="D136" s="6" t="s">
        <v>995</v>
      </c>
      <c r="E136" s="6" t="s">
        <v>618</v>
      </c>
      <c r="F136" s="6" t="s">
        <v>619</v>
      </c>
      <c r="G136" s="6" t="s">
        <v>682</v>
      </c>
      <c r="H136" s="6" t="s">
        <v>620</v>
      </c>
      <c r="I136" s="7">
        <v>0.4</v>
      </c>
      <c r="J136" s="7">
        <v>-5</v>
      </c>
      <c r="M136" s="6">
        <v>500</v>
      </c>
      <c r="N136" s="6">
        <v>9</v>
      </c>
      <c r="O136" s="6">
        <v>2</v>
      </c>
      <c r="Q136" s="6" t="s">
        <v>609</v>
      </c>
    </row>
    <row r="137" spans="1:19" x14ac:dyDescent="0.25">
      <c r="A137" s="6">
        <v>1</v>
      </c>
      <c r="B137" s="6">
        <v>120</v>
      </c>
      <c r="C137" s="8">
        <v>36390</v>
      </c>
      <c r="D137" s="6" t="s">
        <v>995</v>
      </c>
      <c r="E137" s="6" t="s">
        <v>618</v>
      </c>
      <c r="F137" s="6" t="s">
        <v>619</v>
      </c>
      <c r="G137" s="6" t="s">
        <v>621</v>
      </c>
      <c r="H137" s="6" t="s">
        <v>620</v>
      </c>
      <c r="I137" s="7">
        <v>1.4</v>
      </c>
      <c r="J137" s="7">
        <v>-3</v>
      </c>
      <c r="M137" s="6">
        <v>500</v>
      </c>
      <c r="N137" s="6">
        <v>11</v>
      </c>
      <c r="O137" s="6">
        <v>2</v>
      </c>
    </row>
    <row r="138" spans="1:19" x14ac:dyDescent="0.25">
      <c r="A138" s="6">
        <v>1</v>
      </c>
      <c r="B138" s="6">
        <v>121</v>
      </c>
      <c r="C138" s="8">
        <v>36391</v>
      </c>
      <c r="D138" s="6" t="s">
        <v>995</v>
      </c>
      <c r="E138" s="6" t="s">
        <v>622</v>
      </c>
      <c r="F138" s="6" t="s">
        <v>623</v>
      </c>
      <c r="G138" s="6" t="s">
        <v>624</v>
      </c>
      <c r="H138" s="6" t="s">
        <v>625</v>
      </c>
      <c r="I138" s="7">
        <v>2</v>
      </c>
      <c r="J138" s="7">
        <v>-5</v>
      </c>
      <c r="M138" s="6">
        <v>700</v>
      </c>
      <c r="N138" s="6">
        <v>12</v>
      </c>
      <c r="O138" s="6">
        <v>3</v>
      </c>
      <c r="Q138" s="6" t="s">
        <v>626</v>
      </c>
    </row>
    <row r="139" spans="1:19" ht="20.399999999999999" x14ac:dyDescent="0.25">
      <c r="A139" s="6">
        <v>1</v>
      </c>
      <c r="B139" s="6">
        <v>122</v>
      </c>
      <c r="C139" s="8">
        <v>36399</v>
      </c>
      <c r="D139" s="6" t="s">
        <v>995</v>
      </c>
      <c r="E139" s="6" t="s">
        <v>627</v>
      </c>
      <c r="F139" s="6" t="s">
        <v>628</v>
      </c>
      <c r="G139" s="6" t="s">
        <v>647</v>
      </c>
      <c r="H139" s="6" t="s">
        <v>648</v>
      </c>
      <c r="I139" s="7">
        <v>4</v>
      </c>
      <c r="J139" s="7">
        <v>-3.8</v>
      </c>
      <c r="L139" s="6">
        <v>180</v>
      </c>
      <c r="M139" s="6">
        <v>0</v>
      </c>
      <c r="N139" s="6">
        <v>29</v>
      </c>
      <c r="O139" s="6">
        <v>0</v>
      </c>
      <c r="S139" s="6" t="s">
        <v>649</v>
      </c>
    </row>
    <row r="140" spans="1:19" ht="20.399999999999999" x14ac:dyDescent="0.25">
      <c r="A140" s="6">
        <v>1</v>
      </c>
      <c r="B140" s="6">
        <v>123</v>
      </c>
      <c r="C140" s="8">
        <v>36399</v>
      </c>
      <c r="D140" s="6" t="s">
        <v>995</v>
      </c>
      <c r="E140" s="6" t="s">
        <v>627</v>
      </c>
      <c r="F140" s="6" t="s">
        <v>650</v>
      </c>
      <c r="G140" s="6" t="s">
        <v>651</v>
      </c>
      <c r="H140" s="6" t="s">
        <v>652</v>
      </c>
      <c r="I140" s="7">
        <v>3</v>
      </c>
      <c r="J140" s="7">
        <v>-2.5</v>
      </c>
      <c r="L140" s="6">
        <v>20</v>
      </c>
      <c r="M140" s="6">
        <v>0</v>
      </c>
      <c r="N140" s="6">
        <v>15</v>
      </c>
      <c r="O140" s="6">
        <v>0</v>
      </c>
      <c r="S140" s="6" t="s">
        <v>653</v>
      </c>
    </row>
    <row r="141" spans="1:19" ht="20.399999999999999" x14ac:dyDescent="0.25">
      <c r="A141" s="6">
        <v>1</v>
      </c>
      <c r="B141" s="6">
        <v>124</v>
      </c>
      <c r="C141" s="8">
        <v>36400</v>
      </c>
      <c r="D141" s="6" t="s">
        <v>995</v>
      </c>
      <c r="E141" s="6" t="s">
        <v>1384</v>
      </c>
      <c r="F141" s="6" t="s">
        <v>654</v>
      </c>
      <c r="H141" s="6" t="s">
        <v>904</v>
      </c>
      <c r="I141" s="7">
        <v>1.8</v>
      </c>
      <c r="J141" s="7">
        <v>-8</v>
      </c>
      <c r="M141" s="6">
        <v>500</v>
      </c>
      <c r="N141" s="6">
        <v>10</v>
      </c>
      <c r="O141" s="6">
        <v>2</v>
      </c>
      <c r="Q141" s="6" t="s">
        <v>655</v>
      </c>
      <c r="S141" s="6" t="s">
        <v>656</v>
      </c>
    </row>
    <row r="142" spans="1:19" ht="20.399999999999999" x14ac:dyDescent="0.25">
      <c r="A142" s="6">
        <v>1</v>
      </c>
      <c r="B142" s="6">
        <v>125</v>
      </c>
      <c r="C142" s="8">
        <v>36401</v>
      </c>
      <c r="D142" s="6" t="s">
        <v>995</v>
      </c>
      <c r="E142" s="6" t="s">
        <v>1384</v>
      </c>
      <c r="F142" s="6" t="s">
        <v>1067</v>
      </c>
      <c r="G142" s="6" t="s">
        <v>1068</v>
      </c>
      <c r="H142" s="6" t="s">
        <v>904</v>
      </c>
      <c r="I142" s="7">
        <v>2</v>
      </c>
      <c r="J142" s="7">
        <v>-3.2</v>
      </c>
      <c r="M142" s="6">
        <v>700</v>
      </c>
      <c r="N142" s="6">
        <v>17</v>
      </c>
      <c r="O142" s="6">
        <v>2</v>
      </c>
      <c r="Q142" s="6" t="s">
        <v>1069</v>
      </c>
      <c r="S142" s="6" t="s">
        <v>1070</v>
      </c>
    </row>
    <row r="143" spans="1:19" ht="40.799999999999997" x14ac:dyDescent="0.25">
      <c r="A143" s="6">
        <v>1</v>
      </c>
      <c r="B143" s="6">
        <v>126</v>
      </c>
      <c r="C143" s="8">
        <v>36401</v>
      </c>
      <c r="D143" s="6" t="s">
        <v>995</v>
      </c>
      <c r="E143" s="6" t="s">
        <v>1384</v>
      </c>
      <c r="F143" s="6" t="s">
        <v>1071</v>
      </c>
      <c r="G143" s="6" t="s">
        <v>1072</v>
      </c>
      <c r="H143" s="6" t="s">
        <v>1073</v>
      </c>
      <c r="I143" s="7">
        <v>3.5</v>
      </c>
      <c r="J143" s="7">
        <v>4</v>
      </c>
      <c r="K143" s="6">
        <v>1400</v>
      </c>
      <c r="L143" s="6">
        <v>170</v>
      </c>
      <c r="M143" s="6">
        <v>800</v>
      </c>
      <c r="N143" s="6">
        <v>89</v>
      </c>
      <c r="O143" s="6">
        <v>20</v>
      </c>
      <c r="Q143" s="6" t="s">
        <v>1074</v>
      </c>
      <c r="S143" s="6" t="s">
        <v>1075</v>
      </c>
    </row>
    <row r="144" spans="1:19" ht="20.399999999999999" x14ac:dyDescent="0.25">
      <c r="A144" s="6">
        <v>1</v>
      </c>
      <c r="B144" s="6">
        <v>127</v>
      </c>
      <c r="C144" s="8">
        <v>36404</v>
      </c>
      <c r="D144" s="6" t="s">
        <v>995</v>
      </c>
      <c r="E144" s="6" t="s">
        <v>730</v>
      </c>
      <c r="F144" s="6" t="s">
        <v>1076</v>
      </c>
      <c r="G144" s="6" t="s">
        <v>1077</v>
      </c>
      <c r="H144" s="6" t="s">
        <v>1078</v>
      </c>
      <c r="I144" s="7">
        <v>3.5</v>
      </c>
      <c r="J144" s="7">
        <v>-3</v>
      </c>
      <c r="K144" s="6">
        <v>1780</v>
      </c>
      <c r="L144" s="6">
        <v>80</v>
      </c>
      <c r="M144" s="6">
        <v>200</v>
      </c>
      <c r="N144" s="6">
        <v>89</v>
      </c>
      <c r="O144" s="6">
        <v>5</v>
      </c>
      <c r="Q144" s="6" t="s">
        <v>1079</v>
      </c>
      <c r="S144" s="6" t="s">
        <v>1080</v>
      </c>
    </row>
    <row r="145" spans="1:19" ht="20.399999999999999" x14ac:dyDescent="0.25">
      <c r="A145" s="6">
        <v>1</v>
      </c>
      <c r="B145" s="6">
        <v>128</v>
      </c>
      <c r="C145" s="8">
        <v>36404</v>
      </c>
      <c r="D145" s="6" t="s">
        <v>995</v>
      </c>
      <c r="E145" s="6" t="s">
        <v>730</v>
      </c>
      <c r="F145" s="6" t="s">
        <v>1081</v>
      </c>
      <c r="G145" s="6" t="s">
        <v>1082</v>
      </c>
      <c r="H145" s="6" t="s">
        <v>1083</v>
      </c>
      <c r="I145" s="7">
        <v>3</v>
      </c>
      <c r="J145" s="7">
        <v>-12.2</v>
      </c>
      <c r="K145" s="6">
        <v>1500</v>
      </c>
      <c r="L145" s="6">
        <v>130</v>
      </c>
      <c r="M145" s="6">
        <v>130</v>
      </c>
      <c r="N145" s="6">
        <v>24</v>
      </c>
      <c r="O145" s="6">
        <v>4</v>
      </c>
      <c r="Q145" s="6" t="s">
        <v>1084</v>
      </c>
      <c r="S145" s="6" t="s">
        <v>1085</v>
      </c>
    </row>
    <row r="146" spans="1:19" ht="20.399999999999999" x14ac:dyDescent="0.25">
      <c r="A146" s="6">
        <v>1</v>
      </c>
      <c r="B146" s="6">
        <v>129</v>
      </c>
      <c r="C146" s="8">
        <v>36404</v>
      </c>
      <c r="D146" s="6" t="s">
        <v>995</v>
      </c>
      <c r="E146" s="6" t="s">
        <v>730</v>
      </c>
      <c r="F146" s="6" t="s">
        <v>1086</v>
      </c>
      <c r="G146" s="6" t="s">
        <v>1087</v>
      </c>
      <c r="H146" s="6" t="s">
        <v>1088</v>
      </c>
      <c r="I146" s="7">
        <v>1.5</v>
      </c>
      <c r="J146" s="7">
        <v>-4</v>
      </c>
      <c r="K146" s="6">
        <v>1700</v>
      </c>
      <c r="L146" s="6">
        <v>0</v>
      </c>
      <c r="M146" s="6">
        <v>600</v>
      </c>
      <c r="N146" s="6">
        <v>37</v>
      </c>
      <c r="P146" s="6">
        <v>9</v>
      </c>
    </row>
    <row r="147" spans="1:19" ht="20.399999999999999" x14ac:dyDescent="0.25">
      <c r="A147" s="6">
        <v>1</v>
      </c>
      <c r="B147" s="6">
        <v>130</v>
      </c>
      <c r="C147" s="8">
        <v>36405</v>
      </c>
      <c r="D147" s="6" t="s">
        <v>995</v>
      </c>
      <c r="E147" s="6" t="s">
        <v>1550</v>
      </c>
      <c r="F147" s="6" t="s">
        <v>584</v>
      </c>
      <c r="G147" s="6" t="s">
        <v>904</v>
      </c>
      <c r="H147" s="6" t="s">
        <v>1320</v>
      </c>
      <c r="I147" s="7">
        <v>1.2</v>
      </c>
      <c r="J147" s="7">
        <v>-6</v>
      </c>
      <c r="K147" s="6">
        <v>1600</v>
      </c>
      <c r="L147" s="6">
        <v>0</v>
      </c>
      <c r="M147" s="6">
        <v>600</v>
      </c>
      <c r="N147" s="6">
        <v>8</v>
      </c>
      <c r="O147" s="6">
        <v>2</v>
      </c>
      <c r="Q147" s="6" t="s">
        <v>1321</v>
      </c>
      <c r="S147" s="6" t="s">
        <v>1322</v>
      </c>
    </row>
    <row r="148" spans="1:19" ht="20.399999999999999" x14ac:dyDescent="0.25">
      <c r="A148" s="6">
        <v>1</v>
      </c>
      <c r="B148" s="6">
        <v>131</v>
      </c>
      <c r="C148" s="8">
        <v>36405</v>
      </c>
      <c r="D148" s="6" t="s">
        <v>995</v>
      </c>
      <c r="E148" s="6" t="s">
        <v>1550</v>
      </c>
      <c r="F148" s="6" t="s">
        <v>1323</v>
      </c>
      <c r="G148" s="6" t="s">
        <v>904</v>
      </c>
      <c r="H148" s="6" t="s">
        <v>1320</v>
      </c>
      <c r="I148" s="7">
        <v>1.2</v>
      </c>
      <c r="J148" s="7">
        <v>-8.5</v>
      </c>
      <c r="K148" s="6">
        <v>1600</v>
      </c>
      <c r="L148" s="6">
        <v>0</v>
      </c>
      <c r="M148" s="6">
        <v>600</v>
      </c>
      <c r="N148" s="6">
        <v>8</v>
      </c>
      <c r="O148" s="6">
        <v>2</v>
      </c>
      <c r="Q148" s="6" t="s">
        <v>1324</v>
      </c>
      <c r="S148" s="6" t="s">
        <v>1325</v>
      </c>
    </row>
    <row r="149" spans="1:19" ht="20.399999999999999" x14ac:dyDescent="0.25">
      <c r="A149" s="6">
        <v>1</v>
      </c>
      <c r="B149" s="6">
        <v>132</v>
      </c>
      <c r="C149" s="8">
        <v>36405</v>
      </c>
      <c r="D149" s="6" t="s">
        <v>995</v>
      </c>
      <c r="E149" s="6" t="s">
        <v>1550</v>
      </c>
      <c r="F149" s="6" t="s">
        <v>1326</v>
      </c>
      <c r="G149" s="6" t="s">
        <v>1327</v>
      </c>
      <c r="H149" s="6" t="s">
        <v>904</v>
      </c>
      <c r="I149" s="7">
        <v>4.0999999999999996</v>
      </c>
      <c r="J149" s="7">
        <v>-8</v>
      </c>
      <c r="K149" s="6">
        <v>2275</v>
      </c>
      <c r="L149" s="6">
        <v>575</v>
      </c>
      <c r="M149" s="6">
        <v>700</v>
      </c>
      <c r="N149" s="6">
        <v>39</v>
      </c>
      <c r="O149" s="6">
        <v>3</v>
      </c>
      <c r="Q149" s="6" t="s">
        <v>1328</v>
      </c>
      <c r="S149" s="6" t="s">
        <v>1329</v>
      </c>
    </row>
    <row r="150" spans="1:19" ht="30.6" x14ac:dyDescent="0.25">
      <c r="A150" s="6">
        <v>1</v>
      </c>
      <c r="B150" s="6">
        <v>133</v>
      </c>
      <c r="C150" s="8">
        <v>36405</v>
      </c>
      <c r="D150" s="6" t="s">
        <v>995</v>
      </c>
      <c r="E150" s="6" t="s">
        <v>730</v>
      </c>
      <c r="F150" s="6" t="s">
        <v>1330</v>
      </c>
      <c r="G150" s="6" t="s">
        <v>1331</v>
      </c>
      <c r="H150" s="6" t="s">
        <v>1332</v>
      </c>
      <c r="I150" s="7">
        <v>4</v>
      </c>
      <c r="J150" s="7">
        <v>-4.5</v>
      </c>
      <c r="K150" s="6">
        <v>1997</v>
      </c>
      <c r="L150" s="6">
        <v>600</v>
      </c>
      <c r="M150" s="6">
        <v>0</v>
      </c>
      <c r="N150" s="6">
        <v>67</v>
      </c>
      <c r="P150" s="6">
        <v>3</v>
      </c>
      <c r="Q150" s="6" t="s">
        <v>1333</v>
      </c>
      <c r="S150" s="6" t="s">
        <v>1334</v>
      </c>
    </row>
    <row r="151" spans="1:19" ht="20.399999999999999" x14ac:dyDescent="0.25">
      <c r="A151" s="6">
        <v>1</v>
      </c>
      <c r="B151" s="6">
        <v>134</v>
      </c>
      <c r="C151" s="8">
        <v>36405</v>
      </c>
      <c r="D151" s="6" t="s">
        <v>995</v>
      </c>
      <c r="E151" s="6" t="s">
        <v>730</v>
      </c>
      <c r="F151" s="6" t="s">
        <v>1335</v>
      </c>
      <c r="G151" s="6" t="s">
        <v>1336</v>
      </c>
      <c r="H151" s="6" t="s">
        <v>1337</v>
      </c>
      <c r="I151" s="7">
        <v>1.8</v>
      </c>
      <c r="J151" s="7">
        <v>-6.5</v>
      </c>
      <c r="K151" s="6">
        <v>1398</v>
      </c>
      <c r="L151" s="6">
        <v>0</v>
      </c>
      <c r="M151" s="6">
        <v>500</v>
      </c>
      <c r="N151" s="6">
        <v>22</v>
      </c>
      <c r="O151" s="6">
        <v>4</v>
      </c>
      <c r="Q151" s="6" t="s">
        <v>1338</v>
      </c>
    </row>
    <row r="152" spans="1:19" ht="20.399999999999999" x14ac:dyDescent="0.25">
      <c r="A152" s="6">
        <v>1</v>
      </c>
      <c r="B152" s="6">
        <v>135</v>
      </c>
      <c r="C152" s="8">
        <v>36412</v>
      </c>
      <c r="D152" s="6" t="s">
        <v>995</v>
      </c>
      <c r="E152" s="6" t="s">
        <v>730</v>
      </c>
      <c r="F152" s="6" t="s">
        <v>1339</v>
      </c>
      <c r="G152" s="6" t="s">
        <v>1340</v>
      </c>
      <c r="H152" s="6" t="s">
        <v>1341</v>
      </c>
      <c r="I152" s="7">
        <v>2.8</v>
      </c>
      <c r="J152" s="7">
        <v>-6</v>
      </c>
      <c r="K152" s="6">
        <v>1415</v>
      </c>
      <c r="N152" s="6">
        <v>86</v>
      </c>
      <c r="O152" s="6">
        <v>0</v>
      </c>
      <c r="Q152" s="10" t="s">
        <v>1342</v>
      </c>
    </row>
    <row r="153" spans="1:19" ht="20.399999999999999" x14ac:dyDescent="0.25">
      <c r="A153" s="6">
        <v>1</v>
      </c>
      <c r="B153" s="6">
        <v>136</v>
      </c>
      <c r="C153" s="8">
        <v>36412</v>
      </c>
      <c r="D153" s="6" t="s">
        <v>995</v>
      </c>
      <c r="E153" s="6" t="s">
        <v>730</v>
      </c>
      <c r="F153" s="6" t="s">
        <v>1343</v>
      </c>
      <c r="G153" s="6" t="s">
        <v>1089</v>
      </c>
      <c r="H153" s="6" t="s">
        <v>1341</v>
      </c>
      <c r="I153" s="7">
        <v>1.2</v>
      </c>
      <c r="J153" s="7">
        <v>-5</v>
      </c>
      <c r="K153" s="6">
        <v>1755</v>
      </c>
      <c r="N153" s="6">
        <v>85</v>
      </c>
      <c r="Q153" s="10" t="s">
        <v>1342</v>
      </c>
    </row>
    <row r="154" spans="1:19" x14ac:dyDescent="0.25">
      <c r="A154" s="6">
        <v>1</v>
      </c>
      <c r="B154" s="6">
        <v>137</v>
      </c>
      <c r="C154" s="8">
        <v>36412</v>
      </c>
      <c r="D154" s="6" t="s">
        <v>995</v>
      </c>
      <c r="E154" s="6" t="s">
        <v>730</v>
      </c>
      <c r="F154" s="6" t="s">
        <v>1090</v>
      </c>
      <c r="G154" s="6" t="s">
        <v>1091</v>
      </c>
      <c r="H154" s="6" t="s">
        <v>1210</v>
      </c>
      <c r="I154" s="7">
        <v>3.2</v>
      </c>
      <c r="J154" s="7">
        <v>-9.9</v>
      </c>
      <c r="K154" s="6">
        <v>1380</v>
      </c>
      <c r="L154" s="6">
        <v>0</v>
      </c>
      <c r="M154" s="6">
        <v>350</v>
      </c>
      <c r="N154" s="6">
        <v>54</v>
      </c>
      <c r="Q154" s="10" t="s">
        <v>1342</v>
      </c>
    </row>
    <row r="155" spans="1:19" x14ac:dyDescent="0.25">
      <c r="A155" s="6">
        <v>1</v>
      </c>
      <c r="B155" s="6">
        <v>138</v>
      </c>
      <c r="C155" s="8">
        <v>36413</v>
      </c>
      <c r="D155" s="6" t="s">
        <v>995</v>
      </c>
      <c r="E155" s="6" t="s">
        <v>730</v>
      </c>
      <c r="F155" s="6" t="s">
        <v>1211</v>
      </c>
      <c r="H155" s="6" t="s">
        <v>1212</v>
      </c>
      <c r="I155" s="7">
        <v>1</v>
      </c>
      <c r="J155" s="7">
        <v>-7</v>
      </c>
      <c r="M155" s="6">
        <v>800</v>
      </c>
      <c r="N155" s="6">
        <v>8</v>
      </c>
      <c r="O155" s="6">
        <v>2</v>
      </c>
      <c r="Q155" s="6" t="s">
        <v>1213</v>
      </c>
    </row>
    <row r="156" spans="1:19" ht="30.6" x14ac:dyDescent="0.25">
      <c r="A156" s="6">
        <v>1</v>
      </c>
      <c r="B156" s="6">
        <v>139</v>
      </c>
      <c r="C156" s="8">
        <v>36413</v>
      </c>
      <c r="D156" s="6" t="s">
        <v>995</v>
      </c>
      <c r="E156" s="6" t="s">
        <v>730</v>
      </c>
      <c r="F156" s="6" t="s">
        <v>1214</v>
      </c>
      <c r="G156" s="6" t="s">
        <v>1215</v>
      </c>
      <c r="H156" s="6" t="s">
        <v>1216</v>
      </c>
      <c r="I156" s="7">
        <v>5.5</v>
      </c>
      <c r="J156" s="7">
        <v>-5</v>
      </c>
      <c r="K156" s="6">
        <v>2750</v>
      </c>
      <c r="N156" s="6">
        <v>147</v>
      </c>
      <c r="P156" s="6">
        <v>10</v>
      </c>
      <c r="S156" s="6" t="s">
        <v>1217</v>
      </c>
    </row>
    <row r="157" spans="1:19" ht="20.399999999999999" x14ac:dyDescent="0.25">
      <c r="A157" s="6">
        <v>1</v>
      </c>
      <c r="B157" s="6">
        <v>140</v>
      </c>
      <c r="C157" s="8">
        <v>36413</v>
      </c>
      <c r="D157" s="6" t="s">
        <v>995</v>
      </c>
      <c r="E157" s="6" t="s">
        <v>730</v>
      </c>
      <c r="F157" s="6" t="s">
        <v>1218</v>
      </c>
      <c r="G157" s="6" t="s">
        <v>1219</v>
      </c>
      <c r="H157" s="6" t="s">
        <v>733</v>
      </c>
      <c r="I157" s="7">
        <v>4</v>
      </c>
      <c r="J157" s="7">
        <v>-5</v>
      </c>
      <c r="K157" s="6">
        <v>2000</v>
      </c>
      <c r="M157" s="6">
        <v>900</v>
      </c>
      <c r="N157" s="6">
        <v>64</v>
      </c>
      <c r="P157" s="6">
        <v>5</v>
      </c>
      <c r="S157" s="6" t="s">
        <v>1220</v>
      </c>
    </row>
    <row r="158" spans="1:19" ht="30.6" x14ac:dyDescent="0.25">
      <c r="A158" s="6">
        <v>1</v>
      </c>
      <c r="B158" s="6">
        <v>141</v>
      </c>
      <c r="C158" s="8">
        <v>36419</v>
      </c>
      <c r="D158" s="6" t="s">
        <v>995</v>
      </c>
      <c r="E158" s="6" t="s">
        <v>1221</v>
      </c>
      <c r="F158" s="6" t="s">
        <v>1222</v>
      </c>
      <c r="G158" s="6" t="s">
        <v>1223</v>
      </c>
      <c r="H158" s="6" t="s">
        <v>1224</v>
      </c>
      <c r="I158" s="7">
        <v>3.2</v>
      </c>
      <c r="J158" s="7">
        <v>-5</v>
      </c>
      <c r="L158" s="6">
        <v>141</v>
      </c>
      <c r="M158" s="6">
        <v>750</v>
      </c>
      <c r="N158" s="6">
        <v>27</v>
      </c>
      <c r="O158" s="6">
        <v>2</v>
      </c>
      <c r="Q158" s="6" t="s">
        <v>1225</v>
      </c>
    </row>
    <row r="159" spans="1:19" ht="40.799999999999997" x14ac:dyDescent="0.25">
      <c r="A159" s="6">
        <v>1</v>
      </c>
      <c r="B159" s="6">
        <v>142</v>
      </c>
      <c r="C159" s="8">
        <v>36434</v>
      </c>
      <c r="D159" s="6" t="s">
        <v>995</v>
      </c>
      <c r="E159" s="6" t="s">
        <v>730</v>
      </c>
      <c r="F159" s="6" t="s">
        <v>1227</v>
      </c>
      <c r="G159" s="6" t="s">
        <v>1228</v>
      </c>
      <c r="H159" s="6" t="s">
        <v>1229</v>
      </c>
      <c r="I159" s="7">
        <v>2.5</v>
      </c>
      <c r="J159" s="7">
        <v>-6</v>
      </c>
      <c r="K159" s="6">
        <v>1800</v>
      </c>
      <c r="M159" s="6">
        <v>700</v>
      </c>
      <c r="N159" s="6">
        <v>21</v>
      </c>
      <c r="O159" s="6">
        <v>4</v>
      </c>
      <c r="Q159" s="6" t="s">
        <v>1230</v>
      </c>
      <c r="S159" s="6" t="s">
        <v>1226</v>
      </c>
    </row>
    <row r="160" spans="1:19" ht="20.399999999999999" x14ac:dyDescent="0.25">
      <c r="A160" s="6">
        <v>1</v>
      </c>
      <c r="B160" s="6">
        <v>143</v>
      </c>
      <c r="C160" s="8">
        <v>36435</v>
      </c>
      <c r="D160" s="6" t="s">
        <v>995</v>
      </c>
      <c r="E160" s="6" t="s">
        <v>1231</v>
      </c>
      <c r="F160" s="6" t="s">
        <v>1517</v>
      </c>
      <c r="G160" s="6" t="s">
        <v>1518</v>
      </c>
      <c r="H160" s="6" t="s">
        <v>1519</v>
      </c>
      <c r="I160" s="7">
        <v>3</v>
      </c>
      <c r="J160" s="7">
        <v>-4</v>
      </c>
      <c r="L160" s="6">
        <v>132</v>
      </c>
      <c r="M160" s="6">
        <v>400</v>
      </c>
      <c r="N160" s="6">
        <v>98</v>
      </c>
      <c r="O160" s="6">
        <v>3</v>
      </c>
      <c r="S160" s="6" t="s">
        <v>1520</v>
      </c>
    </row>
    <row r="161" spans="1:19" ht="20.399999999999999" x14ac:dyDescent="0.25">
      <c r="A161" s="6">
        <v>1</v>
      </c>
      <c r="B161" s="6">
        <v>144</v>
      </c>
      <c r="C161" s="8">
        <v>36438</v>
      </c>
      <c r="D161" s="6" t="s">
        <v>995</v>
      </c>
      <c r="E161" s="6" t="s">
        <v>1550</v>
      </c>
      <c r="F161" s="6" t="s">
        <v>1521</v>
      </c>
      <c r="G161" s="6" t="s">
        <v>904</v>
      </c>
      <c r="H161" s="6" t="s">
        <v>727</v>
      </c>
      <c r="M161" s="6">
        <v>700</v>
      </c>
      <c r="N161" s="6">
        <v>10</v>
      </c>
      <c r="Q161" s="6" t="s">
        <v>1522</v>
      </c>
    </row>
    <row r="162" spans="1:19" ht="20.399999999999999" x14ac:dyDescent="0.25">
      <c r="A162" s="6">
        <v>1</v>
      </c>
      <c r="B162" s="6">
        <v>145</v>
      </c>
      <c r="C162" s="8">
        <v>36438</v>
      </c>
      <c r="D162" s="6" t="s">
        <v>995</v>
      </c>
      <c r="E162" s="6" t="s">
        <v>1550</v>
      </c>
      <c r="F162" s="6" t="s">
        <v>1523</v>
      </c>
      <c r="G162" s="6" t="s">
        <v>904</v>
      </c>
      <c r="H162" s="6" t="s">
        <v>727</v>
      </c>
      <c r="Q162" s="6" t="s">
        <v>1524</v>
      </c>
    </row>
    <row r="163" spans="1:19" ht="51" x14ac:dyDescent="0.25">
      <c r="A163" s="6">
        <v>1</v>
      </c>
      <c r="B163" s="6">
        <v>146</v>
      </c>
      <c r="C163" s="8">
        <v>36438</v>
      </c>
      <c r="D163" s="6" t="s">
        <v>995</v>
      </c>
      <c r="E163" s="6" t="s">
        <v>1550</v>
      </c>
      <c r="F163" s="6" t="s">
        <v>1525</v>
      </c>
      <c r="G163" s="6" t="s">
        <v>1526</v>
      </c>
      <c r="H163" s="6" t="s">
        <v>1527</v>
      </c>
      <c r="I163" s="7">
        <v>4.2</v>
      </c>
      <c r="J163" s="7">
        <v>-10.4</v>
      </c>
      <c r="K163" s="6">
        <v>2230</v>
      </c>
      <c r="L163" s="6">
        <v>530</v>
      </c>
      <c r="M163" s="6">
        <v>700</v>
      </c>
      <c r="N163" s="6">
        <v>101</v>
      </c>
      <c r="P163" s="6">
        <v>15</v>
      </c>
      <c r="Q163" s="6" t="s">
        <v>1528</v>
      </c>
      <c r="S163" s="6" t="s">
        <v>1529</v>
      </c>
    </row>
    <row r="164" spans="1:19" ht="30.6" x14ac:dyDescent="0.25">
      <c r="A164" s="6">
        <v>1</v>
      </c>
      <c r="B164" s="6">
        <v>147</v>
      </c>
      <c r="C164" s="8">
        <v>36440</v>
      </c>
      <c r="D164" s="6" t="s">
        <v>995</v>
      </c>
      <c r="E164" s="6" t="s">
        <v>748</v>
      </c>
      <c r="F164" s="6" t="s">
        <v>1530</v>
      </c>
      <c r="G164" s="6" t="s">
        <v>1531</v>
      </c>
      <c r="H164" s="6" t="s">
        <v>1532</v>
      </c>
      <c r="I164" s="7">
        <v>4.2</v>
      </c>
      <c r="J164" s="7">
        <v>-6</v>
      </c>
      <c r="K164" s="6">
        <v>1890</v>
      </c>
      <c r="L164" s="6">
        <v>1000</v>
      </c>
      <c r="M164" s="6">
        <v>700</v>
      </c>
      <c r="N164" s="6">
        <v>139</v>
      </c>
      <c r="O164" s="6">
        <v>2</v>
      </c>
      <c r="Q164" s="6" t="s">
        <v>1533</v>
      </c>
      <c r="S164" s="6" t="s">
        <v>1534</v>
      </c>
    </row>
    <row r="165" spans="1:19" ht="40.799999999999997" x14ac:dyDescent="0.25">
      <c r="A165" s="6">
        <v>1</v>
      </c>
      <c r="B165" s="6">
        <v>148</v>
      </c>
      <c r="C165" s="8">
        <v>36456</v>
      </c>
      <c r="D165" s="6" t="s">
        <v>995</v>
      </c>
      <c r="E165" s="6" t="s">
        <v>1535</v>
      </c>
      <c r="F165" s="6" t="s">
        <v>1536</v>
      </c>
      <c r="G165" s="6" t="s">
        <v>1537</v>
      </c>
      <c r="H165" s="6" t="s">
        <v>1538</v>
      </c>
      <c r="I165" s="7">
        <v>3</v>
      </c>
      <c r="J165" s="7">
        <v>-11.3</v>
      </c>
      <c r="K165" s="6">
        <v>1050</v>
      </c>
      <c r="L165" s="6">
        <v>200</v>
      </c>
      <c r="M165" s="6">
        <v>400</v>
      </c>
      <c r="N165" s="6">
        <v>97</v>
      </c>
      <c r="O165" s="6">
        <v>2</v>
      </c>
      <c r="Q165" s="6" t="s">
        <v>1539</v>
      </c>
      <c r="S165" s="6" t="s">
        <v>1540</v>
      </c>
    </row>
    <row r="166" spans="1:19" ht="30.6" x14ac:dyDescent="0.25">
      <c r="A166" s="6">
        <v>1</v>
      </c>
      <c r="B166" s="6">
        <v>149</v>
      </c>
      <c r="C166" s="8">
        <v>36464</v>
      </c>
      <c r="D166" s="6" t="s">
        <v>995</v>
      </c>
      <c r="E166" s="6" t="s">
        <v>1541</v>
      </c>
      <c r="F166" s="6" t="s">
        <v>1542</v>
      </c>
      <c r="G166" s="6" t="s">
        <v>1543</v>
      </c>
      <c r="H166" s="6" t="s">
        <v>1544</v>
      </c>
      <c r="I166" s="7">
        <v>4.2</v>
      </c>
      <c r="J166" s="7">
        <v>-4.3</v>
      </c>
      <c r="K166" s="6">
        <v>2612</v>
      </c>
      <c r="L166" s="6">
        <v>320</v>
      </c>
      <c r="M166" s="6">
        <v>0</v>
      </c>
      <c r="N166" s="6">
        <v>87</v>
      </c>
      <c r="P166" s="6">
        <v>5</v>
      </c>
      <c r="Q166" s="6" t="s">
        <v>1545</v>
      </c>
      <c r="S166" s="6" t="s">
        <v>968</v>
      </c>
    </row>
    <row r="167" spans="1:19" ht="30.6" x14ac:dyDescent="0.25">
      <c r="A167" s="6">
        <v>1</v>
      </c>
      <c r="B167" s="6">
        <v>150</v>
      </c>
      <c r="C167" s="8">
        <v>36464</v>
      </c>
      <c r="D167" s="6" t="s">
        <v>995</v>
      </c>
      <c r="E167" s="6" t="s">
        <v>1541</v>
      </c>
      <c r="F167" s="6" t="s">
        <v>969</v>
      </c>
      <c r="G167" s="6" t="s">
        <v>970</v>
      </c>
      <c r="H167" s="6" t="s">
        <v>971</v>
      </c>
      <c r="I167" s="7">
        <v>3.8</v>
      </c>
      <c r="J167" s="7">
        <v>-6</v>
      </c>
      <c r="M167" s="6">
        <v>1700</v>
      </c>
      <c r="N167" s="6">
        <v>44</v>
      </c>
      <c r="O167" s="6">
        <v>5</v>
      </c>
      <c r="Q167" s="6" t="s">
        <v>972</v>
      </c>
      <c r="S167" s="6" t="s">
        <v>973</v>
      </c>
    </row>
    <row r="168" spans="1:19" ht="20.399999999999999" x14ac:dyDescent="0.25">
      <c r="A168" s="6">
        <v>1</v>
      </c>
      <c r="B168" s="6">
        <v>151</v>
      </c>
      <c r="C168" s="8">
        <v>36468</v>
      </c>
      <c r="D168" s="6" t="s">
        <v>995</v>
      </c>
      <c r="E168" s="6" t="s">
        <v>1354</v>
      </c>
      <c r="F168" s="6" t="s">
        <v>974</v>
      </c>
      <c r="G168" s="6" t="s">
        <v>975</v>
      </c>
      <c r="H168" s="6" t="s">
        <v>976</v>
      </c>
      <c r="J168" s="7">
        <v>-5</v>
      </c>
      <c r="M168" s="6">
        <v>600</v>
      </c>
      <c r="N168" s="6">
        <v>11</v>
      </c>
      <c r="O168" s="6">
        <v>4</v>
      </c>
      <c r="Q168" s="6" t="s">
        <v>1522</v>
      </c>
      <c r="S168" s="6" t="s">
        <v>977</v>
      </c>
    </row>
    <row r="169" spans="1:19" ht="20.399999999999999" x14ac:dyDescent="0.25">
      <c r="A169" s="6">
        <v>1</v>
      </c>
      <c r="B169" s="6">
        <v>152</v>
      </c>
      <c r="C169" s="8">
        <v>36469</v>
      </c>
      <c r="D169" s="6" t="s">
        <v>995</v>
      </c>
      <c r="E169" s="6" t="s">
        <v>978</v>
      </c>
      <c r="F169" s="6" t="s">
        <v>979</v>
      </c>
      <c r="G169" s="6" t="s">
        <v>980</v>
      </c>
      <c r="H169" s="6" t="s">
        <v>981</v>
      </c>
      <c r="I169" s="7">
        <v>2.6</v>
      </c>
      <c r="J169" s="7">
        <v>-4.5</v>
      </c>
      <c r="K169" s="6">
        <v>1200</v>
      </c>
      <c r="L169" s="6">
        <v>200</v>
      </c>
      <c r="M169" s="6">
        <v>400</v>
      </c>
      <c r="N169" s="6">
        <v>65</v>
      </c>
      <c r="O169" s="6">
        <v>3</v>
      </c>
      <c r="S169" s="6" t="s">
        <v>982</v>
      </c>
    </row>
    <row r="170" spans="1:19" x14ac:dyDescent="0.25">
      <c r="A170" s="6">
        <v>1</v>
      </c>
      <c r="B170" s="6">
        <v>153</v>
      </c>
      <c r="C170" s="8">
        <v>36491</v>
      </c>
      <c r="D170" s="6" t="s">
        <v>995</v>
      </c>
      <c r="E170" s="6" t="s">
        <v>1650</v>
      </c>
      <c r="F170" s="6" t="s">
        <v>983</v>
      </c>
      <c r="N170" s="6">
        <v>14</v>
      </c>
      <c r="O170" s="6">
        <v>3</v>
      </c>
    </row>
    <row r="171" spans="1:19" x14ac:dyDescent="0.25">
      <c r="A171" s="6">
        <v>1</v>
      </c>
      <c r="B171" s="6">
        <v>154</v>
      </c>
      <c r="C171" s="8">
        <v>36491</v>
      </c>
      <c r="D171" s="6" t="s">
        <v>995</v>
      </c>
      <c r="E171" s="6" t="s">
        <v>1650</v>
      </c>
      <c r="F171" s="6" t="s">
        <v>984</v>
      </c>
      <c r="N171" s="6">
        <v>11</v>
      </c>
      <c r="O171" s="6">
        <v>3</v>
      </c>
    </row>
    <row r="172" spans="1:19" x14ac:dyDescent="0.25">
      <c r="A172" s="6">
        <v>1</v>
      </c>
      <c r="B172" s="6">
        <v>155</v>
      </c>
      <c r="C172" s="8">
        <v>36492</v>
      </c>
      <c r="D172" s="6" t="s">
        <v>995</v>
      </c>
      <c r="E172" s="6" t="s">
        <v>1650</v>
      </c>
      <c r="F172" s="6" t="s">
        <v>984</v>
      </c>
      <c r="N172" s="6">
        <v>7</v>
      </c>
      <c r="O172" s="6">
        <v>3</v>
      </c>
    </row>
    <row r="173" spans="1:19" x14ac:dyDescent="0.25">
      <c r="A173" s="6">
        <v>1</v>
      </c>
      <c r="B173" s="6">
        <v>156</v>
      </c>
      <c r="C173" s="8">
        <v>36492</v>
      </c>
      <c r="D173" s="6" t="s">
        <v>995</v>
      </c>
      <c r="E173" s="6" t="s">
        <v>1650</v>
      </c>
      <c r="F173" s="6" t="s">
        <v>984</v>
      </c>
      <c r="N173" s="6">
        <v>9</v>
      </c>
      <c r="O173" s="6">
        <v>3</v>
      </c>
    </row>
    <row r="174" spans="1:19" x14ac:dyDescent="0.25">
      <c r="A174" s="6">
        <v>1</v>
      </c>
      <c r="B174" s="6">
        <v>157</v>
      </c>
      <c r="C174" s="8">
        <v>36496</v>
      </c>
      <c r="D174" s="6" t="s">
        <v>995</v>
      </c>
      <c r="E174" s="6" t="s">
        <v>1650</v>
      </c>
      <c r="F174" s="6" t="s">
        <v>985</v>
      </c>
      <c r="N174" s="6">
        <v>20</v>
      </c>
      <c r="O174" s="6">
        <v>3</v>
      </c>
    </row>
    <row r="175" spans="1:19" ht="20.399999999999999" x14ac:dyDescent="0.25">
      <c r="A175" s="6">
        <v>1</v>
      </c>
      <c r="B175" s="6">
        <v>158</v>
      </c>
      <c r="C175" s="8">
        <v>36527</v>
      </c>
      <c r="D175" s="6" t="s">
        <v>995</v>
      </c>
      <c r="E175" s="6" t="s">
        <v>1650</v>
      </c>
      <c r="F175" s="6" t="s">
        <v>1561</v>
      </c>
      <c r="G175" s="6" t="s">
        <v>1562</v>
      </c>
      <c r="H175" s="6" t="s">
        <v>1563</v>
      </c>
      <c r="I175" s="7">
        <v>2</v>
      </c>
      <c r="J175" s="7">
        <v>-4</v>
      </c>
      <c r="K175" s="6">
        <v>1100</v>
      </c>
      <c r="L175" s="6">
        <v>0</v>
      </c>
      <c r="M175" s="6">
        <v>770</v>
      </c>
      <c r="N175" s="6">
        <v>15</v>
      </c>
      <c r="O175" s="6">
        <v>3</v>
      </c>
      <c r="S175" s="6" t="s">
        <v>1564</v>
      </c>
    </row>
    <row r="176" spans="1:19" ht="20.399999999999999" x14ac:dyDescent="0.25">
      <c r="A176" s="6">
        <v>1</v>
      </c>
      <c r="B176" s="6">
        <v>159</v>
      </c>
      <c r="C176" s="8">
        <v>36529</v>
      </c>
      <c r="D176" s="6" t="s">
        <v>995</v>
      </c>
      <c r="E176" s="6" t="s">
        <v>1650</v>
      </c>
      <c r="F176" s="6" t="s">
        <v>1565</v>
      </c>
      <c r="G176" s="6" t="s">
        <v>1566</v>
      </c>
      <c r="H176" s="6" t="s">
        <v>1567</v>
      </c>
      <c r="I176" s="7">
        <v>3</v>
      </c>
      <c r="J176" s="7">
        <v>-9.5</v>
      </c>
      <c r="K176" s="6">
        <v>1227</v>
      </c>
      <c r="L176" s="6">
        <v>127</v>
      </c>
      <c r="M176" s="6">
        <v>770</v>
      </c>
      <c r="N176" s="6">
        <v>54</v>
      </c>
      <c r="P176" s="6">
        <v>8</v>
      </c>
      <c r="Q176" s="6" t="s">
        <v>1568</v>
      </c>
      <c r="S176" s="17" t="s">
        <v>459</v>
      </c>
    </row>
    <row r="177" spans="1:19" x14ac:dyDescent="0.25">
      <c r="A177" s="6">
        <v>1</v>
      </c>
      <c r="B177" s="6">
        <v>160</v>
      </c>
      <c r="C177" s="8">
        <v>36533</v>
      </c>
      <c r="D177" s="6" t="s">
        <v>995</v>
      </c>
      <c r="E177" s="6" t="s">
        <v>1569</v>
      </c>
      <c r="F177" s="6" t="s">
        <v>1570</v>
      </c>
      <c r="L177" s="6">
        <v>135</v>
      </c>
      <c r="N177" s="6">
        <v>1</v>
      </c>
    </row>
    <row r="178" spans="1:19" x14ac:dyDescent="0.25">
      <c r="A178" s="6">
        <v>1</v>
      </c>
      <c r="B178" s="6">
        <v>161</v>
      </c>
      <c r="C178" s="8">
        <v>36533</v>
      </c>
      <c r="D178" s="6" t="s">
        <v>995</v>
      </c>
      <c r="E178" s="6" t="s">
        <v>1569</v>
      </c>
      <c r="F178" s="6" t="s">
        <v>1570</v>
      </c>
      <c r="L178" s="6">
        <v>128</v>
      </c>
      <c r="N178" s="6">
        <v>1</v>
      </c>
    </row>
    <row r="179" spans="1:19" ht="20.399999999999999" x14ac:dyDescent="0.25">
      <c r="A179" s="6">
        <v>1</v>
      </c>
      <c r="B179" s="6">
        <v>162</v>
      </c>
      <c r="C179" s="8">
        <v>36542</v>
      </c>
      <c r="D179" s="6" t="s">
        <v>995</v>
      </c>
      <c r="E179" s="6" t="s">
        <v>1650</v>
      </c>
      <c r="F179" s="6" t="s">
        <v>1571</v>
      </c>
      <c r="G179" s="6" t="s">
        <v>1572</v>
      </c>
      <c r="H179" s="6" t="s">
        <v>1573</v>
      </c>
      <c r="I179" s="7">
        <v>2.4</v>
      </c>
      <c r="J179" s="7">
        <v>-3</v>
      </c>
      <c r="K179" s="6">
        <v>1110</v>
      </c>
      <c r="L179" s="6">
        <v>0</v>
      </c>
      <c r="M179" s="6">
        <v>770</v>
      </c>
      <c r="N179" s="6">
        <v>21</v>
      </c>
      <c r="O179" s="6">
        <v>3</v>
      </c>
    </row>
    <row r="180" spans="1:19" ht="20.399999999999999" x14ac:dyDescent="0.25">
      <c r="A180" s="6">
        <v>1</v>
      </c>
      <c r="B180" s="6">
        <v>163</v>
      </c>
      <c r="C180" s="8">
        <v>36542</v>
      </c>
      <c r="D180" s="6" t="s">
        <v>995</v>
      </c>
      <c r="E180" s="6" t="s">
        <v>1650</v>
      </c>
      <c r="F180" s="6" t="s">
        <v>1574</v>
      </c>
      <c r="G180" s="6" t="s">
        <v>904</v>
      </c>
      <c r="H180" s="6" t="s">
        <v>1575</v>
      </c>
      <c r="I180" s="7">
        <v>2</v>
      </c>
      <c r="J180" s="7">
        <v>-5</v>
      </c>
      <c r="K180" s="6">
        <v>1110</v>
      </c>
      <c r="L180" s="6">
        <v>0</v>
      </c>
      <c r="M180" s="6">
        <v>770</v>
      </c>
      <c r="N180" s="6">
        <v>12</v>
      </c>
      <c r="O180" s="6">
        <v>3</v>
      </c>
    </row>
    <row r="181" spans="1:19" ht="30.6" x14ac:dyDescent="0.25">
      <c r="A181" s="6">
        <v>1</v>
      </c>
      <c r="B181" s="6">
        <v>164</v>
      </c>
      <c r="C181" s="8">
        <v>36546</v>
      </c>
      <c r="D181" s="6" t="s">
        <v>995</v>
      </c>
      <c r="E181" s="6" t="s">
        <v>1384</v>
      </c>
      <c r="F181" s="6" t="s">
        <v>1576</v>
      </c>
      <c r="G181" s="6" t="s">
        <v>1577</v>
      </c>
      <c r="H181" s="6" t="s">
        <v>1578</v>
      </c>
      <c r="I181" s="7">
        <v>4</v>
      </c>
      <c r="J181" s="7">
        <v>-9.3000000000000007</v>
      </c>
      <c r="K181" s="6">
        <v>1438</v>
      </c>
      <c r="L181" s="6">
        <v>200</v>
      </c>
      <c r="M181" s="6">
        <v>800</v>
      </c>
      <c r="N181" s="6">
        <v>42</v>
      </c>
      <c r="O181" s="6">
        <v>3</v>
      </c>
      <c r="Q181" s="6" t="s">
        <v>1579</v>
      </c>
      <c r="S181" s="6" t="s">
        <v>1580</v>
      </c>
    </row>
    <row r="182" spans="1:19" ht="30.6" x14ac:dyDescent="0.25">
      <c r="A182" s="6">
        <v>1</v>
      </c>
      <c r="B182" s="6">
        <v>165</v>
      </c>
      <c r="C182" s="8">
        <v>36547</v>
      </c>
      <c r="D182" s="6" t="s">
        <v>995</v>
      </c>
      <c r="E182" s="6" t="s">
        <v>1650</v>
      </c>
      <c r="F182" s="6" t="s">
        <v>1581</v>
      </c>
      <c r="G182" s="6" t="s">
        <v>1582</v>
      </c>
      <c r="H182" s="6" t="s">
        <v>1583</v>
      </c>
      <c r="I182" s="7">
        <v>1</v>
      </c>
      <c r="J182" s="7">
        <v>-4</v>
      </c>
      <c r="N182" s="6">
        <v>7</v>
      </c>
    </row>
    <row r="183" spans="1:19" ht="30.6" x14ac:dyDescent="0.25">
      <c r="A183" s="6">
        <v>1</v>
      </c>
      <c r="B183" s="6">
        <v>166</v>
      </c>
      <c r="C183" s="8">
        <v>36548</v>
      </c>
      <c r="D183" s="6" t="s">
        <v>995</v>
      </c>
      <c r="E183" s="6" t="s">
        <v>1584</v>
      </c>
      <c r="F183" s="6" t="s">
        <v>1585</v>
      </c>
      <c r="G183" s="6" t="s">
        <v>1586</v>
      </c>
      <c r="H183" s="6" t="s">
        <v>904</v>
      </c>
      <c r="I183" s="7">
        <v>2.5</v>
      </c>
      <c r="J183" s="7">
        <v>-4</v>
      </c>
      <c r="L183" s="6">
        <v>56</v>
      </c>
      <c r="M183" s="6">
        <v>135</v>
      </c>
      <c r="N183" s="6">
        <v>47</v>
      </c>
      <c r="O183" s="6">
        <v>1</v>
      </c>
      <c r="Q183" s="6" t="s">
        <v>1587</v>
      </c>
    </row>
    <row r="184" spans="1:19" ht="30.6" x14ac:dyDescent="0.25">
      <c r="A184" s="6">
        <v>1</v>
      </c>
      <c r="B184" s="6">
        <v>167</v>
      </c>
      <c r="C184" s="8">
        <v>36548</v>
      </c>
      <c r="D184" s="6" t="s">
        <v>995</v>
      </c>
      <c r="E184" s="6" t="s">
        <v>1588</v>
      </c>
      <c r="F184" s="6" t="s">
        <v>1589</v>
      </c>
      <c r="G184" s="6" t="s">
        <v>1590</v>
      </c>
      <c r="H184" s="6" t="s">
        <v>1591</v>
      </c>
      <c r="I184" s="7">
        <v>1</v>
      </c>
      <c r="J184" s="7">
        <v>-2</v>
      </c>
      <c r="L184" s="6">
        <v>20</v>
      </c>
      <c r="M184" s="6">
        <v>50</v>
      </c>
      <c r="N184" s="6">
        <v>20</v>
      </c>
      <c r="P184" s="6">
        <v>2</v>
      </c>
      <c r="S184" s="6" t="s">
        <v>1592</v>
      </c>
    </row>
    <row r="185" spans="1:19" ht="30.6" x14ac:dyDescent="0.25">
      <c r="A185" s="6">
        <v>1</v>
      </c>
      <c r="B185" s="6">
        <v>168</v>
      </c>
      <c r="C185" s="8">
        <v>36557</v>
      </c>
      <c r="D185" s="6" t="s">
        <v>995</v>
      </c>
      <c r="E185" s="6" t="s">
        <v>1593</v>
      </c>
      <c r="F185" s="6" t="s">
        <v>1594</v>
      </c>
      <c r="I185" s="7">
        <v>0</v>
      </c>
      <c r="J185" s="7">
        <v>0</v>
      </c>
      <c r="L185" s="6">
        <v>0</v>
      </c>
      <c r="M185" s="6">
        <v>1200</v>
      </c>
      <c r="N185" s="6">
        <v>28</v>
      </c>
      <c r="O185" s="6">
        <v>4</v>
      </c>
    </row>
    <row r="186" spans="1:19" ht="30.6" x14ac:dyDescent="0.25">
      <c r="A186" s="6">
        <v>1</v>
      </c>
      <c r="B186" s="6">
        <v>169</v>
      </c>
      <c r="C186" s="8">
        <v>36561</v>
      </c>
      <c r="D186" s="6" t="s">
        <v>995</v>
      </c>
      <c r="E186" s="6" t="s">
        <v>1595</v>
      </c>
      <c r="F186" s="6" t="s">
        <v>1596</v>
      </c>
      <c r="G186" s="6" t="s">
        <v>1597</v>
      </c>
      <c r="H186" s="6" t="s">
        <v>1598</v>
      </c>
      <c r="I186" s="7">
        <v>0</v>
      </c>
      <c r="J186" s="7">
        <v>0</v>
      </c>
      <c r="K186" s="6">
        <v>2470</v>
      </c>
      <c r="L186" s="6">
        <v>777</v>
      </c>
      <c r="M186" s="6">
        <v>0</v>
      </c>
      <c r="N186" s="6">
        <v>140</v>
      </c>
      <c r="P186" s="6">
        <v>25</v>
      </c>
      <c r="S186" s="6" t="s">
        <v>1599</v>
      </c>
    </row>
    <row r="187" spans="1:19" ht="20.399999999999999" x14ac:dyDescent="0.25">
      <c r="A187" s="6">
        <v>1</v>
      </c>
      <c r="B187" s="6">
        <v>170</v>
      </c>
      <c r="C187" s="8">
        <v>36561</v>
      </c>
      <c r="D187" s="6" t="s">
        <v>995</v>
      </c>
      <c r="E187" s="6" t="s">
        <v>1595</v>
      </c>
      <c r="F187" s="6" t="s">
        <v>1600</v>
      </c>
      <c r="H187" s="6" t="s">
        <v>1601</v>
      </c>
      <c r="I187" s="7">
        <v>0</v>
      </c>
      <c r="J187" s="7">
        <v>0</v>
      </c>
      <c r="K187" s="6">
        <v>1700</v>
      </c>
      <c r="L187" s="6">
        <v>0</v>
      </c>
      <c r="M187" s="6">
        <v>300</v>
      </c>
      <c r="N187" s="6">
        <v>10</v>
      </c>
      <c r="O187" s="6">
        <v>1</v>
      </c>
    </row>
    <row r="188" spans="1:19" ht="30.6" x14ac:dyDescent="0.25">
      <c r="A188" s="6">
        <v>1</v>
      </c>
      <c r="B188" s="6">
        <v>171</v>
      </c>
      <c r="C188" s="8">
        <v>36562</v>
      </c>
      <c r="D188" s="6" t="s">
        <v>995</v>
      </c>
      <c r="E188" s="6" t="s">
        <v>1595</v>
      </c>
      <c r="F188" s="6" t="s">
        <v>1602</v>
      </c>
      <c r="G188" s="6" t="s">
        <v>1603</v>
      </c>
      <c r="H188" s="6" t="s">
        <v>1604</v>
      </c>
      <c r="I188" s="7">
        <v>0</v>
      </c>
      <c r="J188" s="7">
        <v>0</v>
      </c>
      <c r="K188" s="6">
        <v>2200</v>
      </c>
      <c r="L188" s="6">
        <v>500</v>
      </c>
      <c r="M188" s="6">
        <v>800</v>
      </c>
      <c r="N188" s="6">
        <v>90</v>
      </c>
      <c r="O188" s="6">
        <v>4</v>
      </c>
    </row>
    <row r="189" spans="1:19" ht="30.6" x14ac:dyDescent="0.25">
      <c r="A189" s="6">
        <v>1</v>
      </c>
      <c r="B189" s="6">
        <v>172</v>
      </c>
      <c r="C189" s="8">
        <v>36565</v>
      </c>
      <c r="D189" s="6" t="s">
        <v>1605</v>
      </c>
      <c r="E189" s="6" t="s">
        <v>730</v>
      </c>
      <c r="F189" s="6" t="s">
        <v>1606</v>
      </c>
      <c r="G189" s="6" t="s">
        <v>1607</v>
      </c>
      <c r="H189" s="6" t="s">
        <v>1212</v>
      </c>
      <c r="I189" s="7">
        <v>3.4</v>
      </c>
      <c r="J189" s="7">
        <v>-9</v>
      </c>
      <c r="K189" s="6">
        <v>1700</v>
      </c>
      <c r="L189" s="6">
        <v>40</v>
      </c>
      <c r="M189" s="6">
        <v>830</v>
      </c>
      <c r="N189" s="6">
        <v>13</v>
      </c>
      <c r="O189" s="6">
        <v>3</v>
      </c>
      <c r="S189" s="6" t="s">
        <v>1608</v>
      </c>
    </row>
    <row r="190" spans="1:19" ht="30.6" x14ac:dyDescent="0.25">
      <c r="A190" s="6">
        <v>1</v>
      </c>
      <c r="B190" s="6">
        <v>173</v>
      </c>
      <c r="C190" s="8">
        <v>36565</v>
      </c>
      <c r="D190" s="6" t="s">
        <v>1605</v>
      </c>
      <c r="E190" s="6" t="s">
        <v>730</v>
      </c>
      <c r="F190" s="6" t="s">
        <v>1609</v>
      </c>
      <c r="G190" s="6" t="s">
        <v>1610</v>
      </c>
      <c r="H190" s="6" t="s">
        <v>1212</v>
      </c>
      <c r="I190" s="7">
        <v>5</v>
      </c>
      <c r="J190" s="7">
        <v>-12.7</v>
      </c>
      <c r="K190" s="6">
        <v>1925</v>
      </c>
      <c r="L190" s="6">
        <v>272</v>
      </c>
      <c r="M190" s="6">
        <v>830</v>
      </c>
      <c r="N190" s="6">
        <v>77</v>
      </c>
      <c r="P190" s="6">
        <v>6</v>
      </c>
      <c r="S190" s="6" t="s">
        <v>1611</v>
      </c>
    </row>
    <row r="191" spans="1:19" x14ac:dyDescent="0.25">
      <c r="A191" s="6">
        <v>1</v>
      </c>
      <c r="B191" s="6">
        <v>174</v>
      </c>
      <c r="C191" s="8">
        <v>36578</v>
      </c>
      <c r="D191" s="6" t="s">
        <v>1612</v>
      </c>
      <c r="E191" s="6" t="s">
        <v>1613</v>
      </c>
      <c r="I191" s="7">
        <v>3</v>
      </c>
      <c r="J191" s="7">
        <v>-2</v>
      </c>
      <c r="K191" s="6">
        <v>1264</v>
      </c>
      <c r="L191" s="6">
        <v>118</v>
      </c>
      <c r="M191" s="6">
        <v>0</v>
      </c>
      <c r="N191" s="6">
        <v>18</v>
      </c>
      <c r="O191" s="6">
        <v>0</v>
      </c>
    </row>
    <row r="192" spans="1:19" x14ac:dyDescent="0.25">
      <c r="A192" s="6">
        <v>1</v>
      </c>
      <c r="B192" s="6">
        <v>175</v>
      </c>
      <c r="C192" s="8">
        <v>36580</v>
      </c>
      <c r="D192" s="6" t="s">
        <v>1612</v>
      </c>
      <c r="E192" s="6" t="s">
        <v>1613</v>
      </c>
      <c r="I192" s="7">
        <v>4</v>
      </c>
      <c r="J192" s="7">
        <v>-4</v>
      </c>
      <c r="K192" s="6">
        <v>1453</v>
      </c>
      <c r="L192" s="6">
        <v>312</v>
      </c>
      <c r="M192" s="6">
        <v>0</v>
      </c>
      <c r="N192" s="6">
        <v>47</v>
      </c>
      <c r="O192" s="6">
        <v>0</v>
      </c>
    </row>
    <row r="193" spans="1:19" x14ac:dyDescent="0.25">
      <c r="A193" s="6">
        <v>1</v>
      </c>
      <c r="B193" s="6">
        <v>176</v>
      </c>
      <c r="C193" s="8">
        <v>36580</v>
      </c>
      <c r="D193" s="6" t="s">
        <v>1612</v>
      </c>
      <c r="E193" s="6" t="s">
        <v>1613</v>
      </c>
      <c r="I193" s="7">
        <v>4</v>
      </c>
      <c r="J193" s="7">
        <v>-4</v>
      </c>
      <c r="K193" s="6">
        <v>1256</v>
      </c>
      <c r="L193" s="6">
        <v>115</v>
      </c>
      <c r="M193" s="6">
        <v>0</v>
      </c>
      <c r="N193" s="6">
        <v>56</v>
      </c>
      <c r="O193" s="6">
        <v>0</v>
      </c>
    </row>
    <row r="194" spans="1:19" ht="20.399999999999999" x14ac:dyDescent="0.25">
      <c r="A194" s="6">
        <v>1</v>
      </c>
      <c r="B194" s="6">
        <v>177</v>
      </c>
      <c r="C194" s="8">
        <v>36580</v>
      </c>
      <c r="D194" s="6" t="s">
        <v>1612</v>
      </c>
      <c r="E194" s="6" t="s">
        <v>1613</v>
      </c>
      <c r="G194" s="6" t="s">
        <v>1614</v>
      </c>
      <c r="H194" s="6" t="s">
        <v>1615</v>
      </c>
      <c r="I194" s="7">
        <v>3</v>
      </c>
      <c r="J194" s="7">
        <v>-4</v>
      </c>
      <c r="K194" s="6">
        <v>1196</v>
      </c>
      <c r="L194" s="6">
        <v>55</v>
      </c>
      <c r="M194" s="6">
        <v>0</v>
      </c>
      <c r="N194" s="6">
        <v>68</v>
      </c>
      <c r="O194" s="6">
        <v>0</v>
      </c>
    </row>
    <row r="195" spans="1:19" x14ac:dyDescent="0.25">
      <c r="A195" s="6">
        <v>1</v>
      </c>
      <c r="B195" s="6">
        <v>178</v>
      </c>
      <c r="C195" s="8">
        <v>36581</v>
      </c>
      <c r="D195" s="6" t="s">
        <v>1612</v>
      </c>
      <c r="E195" s="6" t="s">
        <v>1613</v>
      </c>
      <c r="I195" s="7">
        <v>2</v>
      </c>
      <c r="J195" s="7">
        <v>-5</v>
      </c>
      <c r="K195" s="6">
        <v>1139</v>
      </c>
      <c r="L195" s="6">
        <v>0</v>
      </c>
      <c r="M195" s="6">
        <v>350</v>
      </c>
      <c r="N195" s="6">
        <v>9</v>
      </c>
      <c r="O195" s="6">
        <v>4</v>
      </c>
      <c r="S195" s="6" t="s">
        <v>1616</v>
      </c>
    </row>
    <row r="196" spans="1:19" x14ac:dyDescent="0.25">
      <c r="A196" s="6">
        <v>1</v>
      </c>
      <c r="B196" s="6">
        <v>179</v>
      </c>
      <c r="C196" s="8">
        <v>36581</v>
      </c>
      <c r="D196" s="6" t="s">
        <v>1612</v>
      </c>
      <c r="E196" s="6" t="s">
        <v>1613</v>
      </c>
      <c r="I196" s="7">
        <v>2</v>
      </c>
      <c r="J196" s="7">
        <v>-4</v>
      </c>
      <c r="K196" s="6">
        <v>1229</v>
      </c>
      <c r="L196" s="6">
        <v>88</v>
      </c>
      <c r="M196" s="6">
        <v>350</v>
      </c>
      <c r="N196" s="6">
        <v>15</v>
      </c>
      <c r="O196" s="6">
        <v>4</v>
      </c>
      <c r="S196" s="6" t="s">
        <v>998</v>
      </c>
    </row>
    <row r="197" spans="1:19" ht="30.6" x14ac:dyDescent="0.25">
      <c r="A197" s="6">
        <v>1</v>
      </c>
      <c r="B197" s="6">
        <v>180</v>
      </c>
      <c r="C197" s="8">
        <v>36591</v>
      </c>
      <c r="D197" s="6" t="s">
        <v>1612</v>
      </c>
      <c r="E197" s="6" t="s">
        <v>1550</v>
      </c>
      <c r="F197" s="6" t="s">
        <v>1617</v>
      </c>
      <c r="G197" s="6" t="s">
        <v>1618</v>
      </c>
      <c r="H197" s="6" t="s">
        <v>904</v>
      </c>
      <c r="I197" s="7">
        <v>4</v>
      </c>
      <c r="J197" s="7">
        <v>-13.2</v>
      </c>
      <c r="K197" s="6">
        <v>2150</v>
      </c>
      <c r="L197" s="6">
        <v>360</v>
      </c>
      <c r="M197" s="6">
        <v>700</v>
      </c>
      <c r="N197" s="6">
        <v>41</v>
      </c>
      <c r="O197" s="6">
        <v>4</v>
      </c>
      <c r="Q197" s="6" t="s">
        <v>1619</v>
      </c>
    </row>
    <row r="198" spans="1:19" ht="30.6" x14ac:dyDescent="0.25">
      <c r="A198" s="6">
        <v>1</v>
      </c>
      <c r="B198" s="6">
        <v>181</v>
      </c>
      <c r="C198" s="8">
        <v>36596</v>
      </c>
      <c r="D198" s="6" t="s">
        <v>1612</v>
      </c>
      <c r="E198" s="6" t="s">
        <v>1620</v>
      </c>
      <c r="F198" s="6" t="s">
        <v>1621</v>
      </c>
      <c r="G198" s="6" t="s">
        <v>1622</v>
      </c>
      <c r="H198" s="6" t="s">
        <v>1623</v>
      </c>
      <c r="I198" s="7">
        <v>5</v>
      </c>
      <c r="J198" s="7">
        <v>-5</v>
      </c>
      <c r="K198" s="6">
        <v>1900</v>
      </c>
      <c r="L198" s="6">
        <v>0</v>
      </c>
      <c r="M198" s="6">
        <v>1100</v>
      </c>
      <c r="N198" s="6">
        <v>60</v>
      </c>
      <c r="O198" s="6">
        <v>3</v>
      </c>
    </row>
    <row r="199" spans="1:19" ht="30.6" x14ac:dyDescent="0.25">
      <c r="A199" s="6">
        <v>1</v>
      </c>
      <c r="B199" s="6">
        <v>182</v>
      </c>
      <c r="C199" s="8">
        <v>36596</v>
      </c>
      <c r="D199" s="6" t="s">
        <v>1612</v>
      </c>
      <c r="E199" s="6" t="s">
        <v>1620</v>
      </c>
      <c r="F199" s="6" t="s">
        <v>1624</v>
      </c>
      <c r="G199" s="6" t="s">
        <v>1625</v>
      </c>
      <c r="H199" s="6" t="s">
        <v>904</v>
      </c>
      <c r="I199" s="7">
        <v>4</v>
      </c>
      <c r="J199" s="7">
        <v>-6</v>
      </c>
      <c r="K199" s="6">
        <v>1900</v>
      </c>
      <c r="M199" s="6">
        <v>1100</v>
      </c>
      <c r="N199" s="6">
        <v>50</v>
      </c>
      <c r="P199" s="6">
        <v>6</v>
      </c>
      <c r="S199" s="6" t="s">
        <v>1626</v>
      </c>
    </row>
    <row r="200" spans="1:19" ht="30.6" x14ac:dyDescent="0.25">
      <c r="A200" s="6">
        <v>1</v>
      </c>
      <c r="B200" s="6">
        <v>183</v>
      </c>
      <c r="C200" s="8">
        <v>36597</v>
      </c>
      <c r="D200" s="6" t="s">
        <v>1612</v>
      </c>
      <c r="E200" s="6" t="s">
        <v>1550</v>
      </c>
      <c r="F200" s="6" t="s">
        <v>1627</v>
      </c>
      <c r="G200" s="6" t="s">
        <v>1629</v>
      </c>
      <c r="H200" s="6" t="s">
        <v>1630</v>
      </c>
      <c r="I200" s="7">
        <v>5</v>
      </c>
      <c r="J200" s="7">
        <v>-9</v>
      </c>
      <c r="K200" s="6">
        <v>3047</v>
      </c>
      <c r="L200" s="6">
        <v>1344</v>
      </c>
      <c r="M200" s="6">
        <v>0</v>
      </c>
      <c r="N200" s="6">
        <v>115</v>
      </c>
      <c r="P200" s="6">
        <v>15.5</v>
      </c>
      <c r="S200" s="6" t="s">
        <v>1631</v>
      </c>
    </row>
    <row r="201" spans="1:19" ht="30.6" x14ac:dyDescent="0.25">
      <c r="A201" s="6">
        <v>1</v>
      </c>
      <c r="B201" s="6">
        <v>184</v>
      </c>
      <c r="C201" s="8">
        <v>36597</v>
      </c>
      <c r="D201" s="6" t="s">
        <v>1612</v>
      </c>
      <c r="E201" s="6" t="s">
        <v>1550</v>
      </c>
      <c r="F201" s="6" t="s">
        <v>1632</v>
      </c>
      <c r="G201" s="6" t="s">
        <v>1633</v>
      </c>
      <c r="H201" s="6" t="s">
        <v>904</v>
      </c>
      <c r="I201" s="7">
        <v>2</v>
      </c>
      <c r="J201" s="7">
        <v>-6</v>
      </c>
      <c r="K201" s="6">
        <v>1475</v>
      </c>
      <c r="L201" s="6">
        <v>0</v>
      </c>
      <c r="M201" s="6">
        <v>475</v>
      </c>
      <c r="N201" s="6">
        <v>10</v>
      </c>
      <c r="O201" s="6">
        <v>4</v>
      </c>
      <c r="Q201" s="6" t="s">
        <v>1634</v>
      </c>
    </row>
    <row r="202" spans="1:19" ht="30.6" x14ac:dyDescent="0.25">
      <c r="A202" s="6">
        <v>1</v>
      </c>
      <c r="B202" s="6">
        <v>185</v>
      </c>
      <c r="C202" s="8">
        <v>36598</v>
      </c>
      <c r="D202" s="6" t="s">
        <v>1612</v>
      </c>
      <c r="E202" s="6" t="s">
        <v>1550</v>
      </c>
      <c r="F202" s="6" t="s">
        <v>1627</v>
      </c>
      <c r="G202" s="6" t="s">
        <v>1635</v>
      </c>
      <c r="H202" s="6" t="s">
        <v>1636</v>
      </c>
      <c r="I202" s="7">
        <v>6</v>
      </c>
      <c r="J202" s="7">
        <v>-7</v>
      </c>
      <c r="K202" s="6">
        <v>2824</v>
      </c>
      <c r="L202" s="6">
        <v>1121</v>
      </c>
      <c r="M202" s="6">
        <v>0</v>
      </c>
      <c r="N202" s="6">
        <v>102</v>
      </c>
      <c r="P202" s="6">
        <v>18.5</v>
      </c>
      <c r="S202" s="6" t="s">
        <v>1637</v>
      </c>
    </row>
    <row r="203" spans="1:19" ht="30.6" x14ac:dyDescent="0.25">
      <c r="A203" s="6">
        <v>1</v>
      </c>
      <c r="B203" s="6">
        <v>186</v>
      </c>
      <c r="C203" s="8">
        <v>36598</v>
      </c>
      <c r="D203" s="6" t="s">
        <v>1612</v>
      </c>
      <c r="E203" s="6" t="s">
        <v>1550</v>
      </c>
      <c r="F203" s="6" t="s">
        <v>1638</v>
      </c>
      <c r="G203" s="6" t="s">
        <v>1392</v>
      </c>
      <c r="H203" s="6" t="s">
        <v>904</v>
      </c>
      <c r="I203" s="7">
        <v>0</v>
      </c>
      <c r="J203" s="7">
        <v>0</v>
      </c>
      <c r="K203" s="6">
        <v>1500</v>
      </c>
      <c r="L203" s="6">
        <v>0</v>
      </c>
      <c r="M203" s="6">
        <v>500</v>
      </c>
      <c r="N203" s="6">
        <v>10</v>
      </c>
      <c r="O203" s="6">
        <v>4</v>
      </c>
    </row>
    <row r="204" spans="1:19" ht="30.6" x14ac:dyDescent="0.25">
      <c r="A204" s="6">
        <v>1</v>
      </c>
      <c r="B204" s="6">
        <v>187</v>
      </c>
      <c r="C204" s="8">
        <v>36610</v>
      </c>
      <c r="D204" s="6" t="s">
        <v>1612</v>
      </c>
      <c r="E204" s="6" t="s">
        <v>1650</v>
      </c>
      <c r="F204" s="6" t="s">
        <v>1393</v>
      </c>
      <c r="G204" s="6" t="s">
        <v>1394</v>
      </c>
      <c r="H204" s="6" t="s">
        <v>727</v>
      </c>
      <c r="I204" s="7">
        <v>2</v>
      </c>
      <c r="J204" s="7">
        <v>-5</v>
      </c>
      <c r="M204" s="6">
        <v>700</v>
      </c>
      <c r="N204" s="6">
        <v>10</v>
      </c>
      <c r="O204" s="6">
        <v>3</v>
      </c>
      <c r="Q204" s="6" t="s">
        <v>1395</v>
      </c>
    </row>
    <row r="205" spans="1:19" ht="30.6" x14ac:dyDescent="0.25">
      <c r="A205" s="6">
        <v>1</v>
      </c>
      <c r="B205" s="6">
        <v>188</v>
      </c>
      <c r="C205" s="8">
        <v>36623</v>
      </c>
      <c r="D205" s="6" t="s">
        <v>1612</v>
      </c>
      <c r="E205" s="6" t="s">
        <v>748</v>
      </c>
      <c r="F205" s="6" t="s">
        <v>1396</v>
      </c>
      <c r="G205" s="6" t="s">
        <v>1397</v>
      </c>
      <c r="H205" s="6" t="s">
        <v>1559</v>
      </c>
      <c r="N205" s="6">
        <v>45</v>
      </c>
      <c r="Q205" s="6" t="s">
        <v>1398</v>
      </c>
      <c r="S205" s="6" t="s">
        <v>1399</v>
      </c>
    </row>
    <row r="206" spans="1:19" ht="30.6" x14ac:dyDescent="0.25">
      <c r="A206" s="6">
        <v>1</v>
      </c>
      <c r="B206" s="6">
        <v>189</v>
      </c>
      <c r="C206" s="8">
        <v>36623</v>
      </c>
      <c r="D206" s="6" t="s">
        <v>1612</v>
      </c>
      <c r="E206" s="6" t="s">
        <v>748</v>
      </c>
      <c r="F206" s="6" t="s">
        <v>1400</v>
      </c>
      <c r="G206" s="6" t="s">
        <v>1401</v>
      </c>
      <c r="H206" s="6" t="s">
        <v>1402</v>
      </c>
      <c r="N206" s="6">
        <v>30</v>
      </c>
      <c r="Q206" s="6" t="s">
        <v>1403</v>
      </c>
    </row>
    <row r="207" spans="1:19" ht="61.2" x14ac:dyDescent="0.25">
      <c r="A207" s="6">
        <v>1</v>
      </c>
      <c r="B207" s="6">
        <v>190</v>
      </c>
      <c r="C207" s="8">
        <v>36636</v>
      </c>
      <c r="D207" s="6" t="s">
        <v>1612</v>
      </c>
      <c r="E207" s="6" t="s">
        <v>1404</v>
      </c>
      <c r="F207" s="6" t="s">
        <v>1405</v>
      </c>
      <c r="G207" s="6" t="s">
        <v>1425</v>
      </c>
      <c r="H207" s="6" t="s">
        <v>1437</v>
      </c>
      <c r="I207" s="7">
        <v>8</v>
      </c>
      <c r="J207" s="7">
        <v>-9.4</v>
      </c>
      <c r="K207" s="6">
        <v>3350</v>
      </c>
      <c r="L207" s="6">
        <v>1806</v>
      </c>
      <c r="N207" s="6">
        <v>160</v>
      </c>
      <c r="P207" s="6">
        <v>35</v>
      </c>
      <c r="S207" s="6" t="s">
        <v>1438</v>
      </c>
    </row>
    <row r="208" spans="1:19" x14ac:dyDescent="0.25">
      <c r="A208" s="6">
        <v>1</v>
      </c>
      <c r="B208" s="6">
        <v>191</v>
      </c>
      <c r="C208" s="8">
        <v>36640</v>
      </c>
      <c r="D208" s="6" t="s">
        <v>1612</v>
      </c>
      <c r="E208" s="6" t="s">
        <v>1439</v>
      </c>
      <c r="I208" s="7">
        <v>1</v>
      </c>
      <c r="J208" s="7">
        <v>-3</v>
      </c>
      <c r="M208" s="6">
        <v>130</v>
      </c>
      <c r="N208" s="6">
        <v>5</v>
      </c>
    </row>
    <row r="209" spans="1:19" x14ac:dyDescent="0.25">
      <c r="A209" s="6">
        <v>1</v>
      </c>
      <c r="B209" s="6">
        <v>192</v>
      </c>
      <c r="C209" s="8">
        <v>36640</v>
      </c>
      <c r="D209" s="6" t="s">
        <v>1612</v>
      </c>
      <c r="E209" s="6" t="s">
        <v>1439</v>
      </c>
      <c r="I209" s="7">
        <v>2</v>
      </c>
      <c r="J209" s="7">
        <v>-3</v>
      </c>
      <c r="L209" s="6">
        <v>90</v>
      </c>
      <c r="M209" s="6">
        <v>130</v>
      </c>
      <c r="N209" s="6">
        <v>36</v>
      </c>
      <c r="O209" s="6">
        <v>2</v>
      </c>
    </row>
    <row r="210" spans="1:19" x14ac:dyDescent="0.25">
      <c r="A210" s="6">
        <v>1</v>
      </c>
      <c r="B210" s="6">
        <v>193</v>
      </c>
      <c r="C210" s="8">
        <v>36645</v>
      </c>
      <c r="D210" s="6" t="s">
        <v>997</v>
      </c>
      <c r="E210" s="6" t="s">
        <v>748</v>
      </c>
      <c r="F210" s="6" t="s">
        <v>1440</v>
      </c>
      <c r="I210" s="7">
        <v>4</v>
      </c>
      <c r="J210" s="7">
        <v>-4</v>
      </c>
      <c r="L210" s="6">
        <v>35</v>
      </c>
      <c r="N210" s="6">
        <v>8</v>
      </c>
    </row>
    <row r="211" spans="1:19" x14ac:dyDescent="0.25">
      <c r="A211" s="6">
        <v>1</v>
      </c>
      <c r="B211" s="6">
        <v>194</v>
      </c>
      <c r="C211" s="8">
        <v>36645</v>
      </c>
      <c r="D211" s="6" t="s">
        <v>997</v>
      </c>
      <c r="E211" s="6" t="s">
        <v>748</v>
      </c>
      <c r="F211" s="6" t="s">
        <v>1440</v>
      </c>
      <c r="I211" s="7">
        <v>2</v>
      </c>
      <c r="J211" s="7">
        <v>-4</v>
      </c>
      <c r="L211" s="6">
        <v>0</v>
      </c>
      <c r="N211" s="6">
        <v>15</v>
      </c>
    </row>
    <row r="212" spans="1:19" x14ac:dyDescent="0.25">
      <c r="A212" s="6">
        <v>1</v>
      </c>
      <c r="B212" s="6">
        <v>195</v>
      </c>
      <c r="C212" s="8">
        <v>36645</v>
      </c>
      <c r="D212" s="6" t="s">
        <v>997</v>
      </c>
      <c r="E212" s="6" t="s">
        <v>748</v>
      </c>
      <c r="F212" s="6" t="s">
        <v>1441</v>
      </c>
      <c r="I212" s="7">
        <v>4</v>
      </c>
      <c r="J212" s="7">
        <v>-12.2</v>
      </c>
      <c r="N212" s="6">
        <v>63</v>
      </c>
    </row>
    <row r="213" spans="1:19" x14ac:dyDescent="0.25">
      <c r="A213" s="6">
        <v>1</v>
      </c>
      <c r="B213" s="6">
        <v>196</v>
      </c>
      <c r="C213" s="8">
        <v>36646</v>
      </c>
      <c r="D213" s="6" t="s">
        <v>1612</v>
      </c>
      <c r="E213" s="6" t="s">
        <v>1442</v>
      </c>
      <c r="I213" s="7">
        <v>1</v>
      </c>
      <c r="J213" s="7">
        <v>-3</v>
      </c>
      <c r="N213" s="6">
        <v>7</v>
      </c>
    </row>
    <row r="214" spans="1:19" x14ac:dyDescent="0.25">
      <c r="A214" s="6">
        <v>1</v>
      </c>
      <c r="B214" s="6">
        <v>197</v>
      </c>
      <c r="C214" s="8">
        <v>36646</v>
      </c>
      <c r="D214" s="6" t="s">
        <v>1612</v>
      </c>
      <c r="E214" s="6" t="s">
        <v>1442</v>
      </c>
      <c r="I214" s="7">
        <v>3</v>
      </c>
      <c r="J214" s="7">
        <v>-6</v>
      </c>
      <c r="N214" s="6">
        <v>61</v>
      </c>
    </row>
    <row r="215" spans="1:19" x14ac:dyDescent="0.25">
      <c r="A215" s="6">
        <v>1</v>
      </c>
      <c r="B215" s="6">
        <v>198</v>
      </c>
      <c r="C215" s="8">
        <v>36647</v>
      </c>
      <c r="D215" s="6" t="s">
        <v>1612</v>
      </c>
      <c r="E215" s="6" t="s">
        <v>1442</v>
      </c>
      <c r="I215" s="7">
        <v>2</v>
      </c>
      <c r="J215" s="7">
        <v>-7</v>
      </c>
      <c r="N215" s="6">
        <v>13</v>
      </c>
    </row>
    <row r="216" spans="1:19" x14ac:dyDescent="0.25">
      <c r="A216" s="6">
        <v>1</v>
      </c>
      <c r="B216" s="6">
        <v>199</v>
      </c>
      <c r="C216" s="8">
        <v>36647</v>
      </c>
      <c r="D216" s="6" t="s">
        <v>1612</v>
      </c>
      <c r="E216" s="6" t="s">
        <v>1442</v>
      </c>
      <c r="I216" s="7">
        <v>3</v>
      </c>
      <c r="J216" s="7">
        <v>-5</v>
      </c>
      <c r="N216" s="6">
        <v>23</v>
      </c>
    </row>
    <row r="217" spans="1:19" ht="81.599999999999994" x14ac:dyDescent="0.25">
      <c r="A217" s="6">
        <v>1</v>
      </c>
      <c r="B217" s="6">
        <v>200</v>
      </c>
      <c r="C217" s="8">
        <v>36659</v>
      </c>
      <c r="D217" s="6" t="s">
        <v>1612</v>
      </c>
      <c r="E217" s="6" t="s">
        <v>1443</v>
      </c>
      <c r="F217" s="6" t="s">
        <v>1370</v>
      </c>
      <c r="G217" s="6" t="s">
        <v>1110</v>
      </c>
      <c r="H217" s="6" t="s">
        <v>1111</v>
      </c>
      <c r="I217" s="7">
        <v>6.5</v>
      </c>
      <c r="J217" s="7">
        <v>-7</v>
      </c>
      <c r="K217" s="6">
        <v>2450</v>
      </c>
      <c r="L217" s="6">
        <v>1050</v>
      </c>
      <c r="N217" s="6">
        <v>119</v>
      </c>
      <c r="P217" s="6">
        <v>24</v>
      </c>
      <c r="Q217" s="6" t="s">
        <v>1112</v>
      </c>
      <c r="S217" s="6" t="s">
        <v>1113</v>
      </c>
    </row>
    <row r="218" spans="1:19" ht="40.799999999999997" x14ac:dyDescent="0.25">
      <c r="A218" s="6">
        <v>1</v>
      </c>
      <c r="B218" s="6">
        <v>201</v>
      </c>
      <c r="C218" s="8">
        <v>36661</v>
      </c>
      <c r="D218" s="6" t="s">
        <v>1612</v>
      </c>
      <c r="E218" s="6" t="s">
        <v>1550</v>
      </c>
      <c r="F218" s="6" t="s">
        <v>1114</v>
      </c>
      <c r="G218" s="6" t="s">
        <v>1115</v>
      </c>
      <c r="H218" s="6" t="s">
        <v>1116</v>
      </c>
      <c r="I218" s="7">
        <v>5</v>
      </c>
      <c r="J218" s="7">
        <v>-9.6</v>
      </c>
      <c r="K218" s="6">
        <v>2724</v>
      </c>
      <c r="L218" s="6">
        <v>1030</v>
      </c>
      <c r="M218" s="6">
        <v>700</v>
      </c>
      <c r="N218" s="6">
        <v>65</v>
      </c>
      <c r="O218" s="6">
        <v>4</v>
      </c>
      <c r="S218" s="6" t="s">
        <v>1117</v>
      </c>
    </row>
    <row r="219" spans="1:19" ht="30.6" x14ac:dyDescent="0.25">
      <c r="A219" s="6">
        <v>1</v>
      </c>
      <c r="B219" s="6">
        <v>202</v>
      </c>
      <c r="C219" s="8">
        <v>36673</v>
      </c>
      <c r="D219" s="6" t="s">
        <v>1612</v>
      </c>
      <c r="E219" s="6" t="s">
        <v>1550</v>
      </c>
      <c r="F219" s="6" t="s">
        <v>1118</v>
      </c>
      <c r="G219" s="6" t="s">
        <v>1176</v>
      </c>
      <c r="H219" s="6" t="s">
        <v>727</v>
      </c>
      <c r="I219" s="7">
        <v>4</v>
      </c>
      <c r="J219" s="7">
        <v>-20</v>
      </c>
      <c r="K219" s="6">
        <v>0</v>
      </c>
      <c r="L219" s="6">
        <v>0</v>
      </c>
      <c r="M219" s="6">
        <v>600</v>
      </c>
      <c r="N219" s="6">
        <v>10</v>
      </c>
      <c r="O219" s="6">
        <v>2</v>
      </c>
      <c r="Q219" s="6" t="s">
        <v>1119</v>
      </c>
      <c r="S219" s="6" t="s">
        <v>382</v>
      </c>
    </row>
    <row r="220" spans="1:19" ht="20.399999999999999" x14ac:dyDescent="0.25">
      <c r="A220" s="6">
        <v>1</v>
      </c>
      <c r="B220" s="6">
        <v>203</v>
      </c>
      <c r="C220" s="8">
        <v>36673</v>
      </c>
      <c r="D220" s="6" t="s">
        <v>1612</v>
      </c>
      <c r="E220" s="6" t="s">
        <v>1550</v>
      </c>
      <c r="F220" s="6" t="s">
        <v>1120</v>
      </c>
      <c r="G220" s="6" t="s">
        <v>1121</v>
      </c>
      <c r="H220" s="6" t="s">
        <v>727</v>
      </c>
      <c r="I220" s="7">
        <v>2</v>
      </c>
      <c r="J220" s="7">
        <v>-3.5</v>
      </c>
      <c r="K220" s="6">
        <v>0</v>
      </c>
      <c r="L220" s="6">
        <v>0</v>
      </c>
      <c r="M220" s="6">
        <v>700</v>
      </c>
      <c r="N220" s="6">
        <v>19</v>
      </c>
      <c r="O220" s="6">
        <v>2</v>
      </c>
    </row>
    <row r="221" spans="1:19" ht="30.6" x14ac:dyDescent="0.25">
      <c r="A221" s="6">
        <v>1</v>
      </c>
      <c r="B221" s="6">
        <v>204</v>
      </c>
      <c r="C221" s="8">
        <v>36673</v>
      </c>
      <c r="D221" s="6" t="s">
        <v>1612</v>
      </c>
      <c r="E221" s="6" t="s">
        <v>1550</v>
      </c>
      <c r="F221" s="6" t="s">
        <v>1122</v>
      </c>
      <c r="G221" s="6" t="s">
        <v>1176</v>
      </c>
      <c r="H221" s="6" t="s">
        <v>727</v>
      </c>
      <c r="I221" s="7">
        <v>1</v>
      </c>
      <c r="J221" s="7">
        <v>-15.6</v>
      </c>
      <c r="K221" s="6">
        <v>0</v>
      </c>
      <c r="L221" s="6">
        <v>0</v>
      </c>
      <c r="M221" s="6">
        <v>600</v>
      </c>
      <c r="N221" s="6">
        <v>8</v>
      </c>
      <c r="O221" s="6">
        <v>2</v>
      </c>
      <c r="Q221" s="6" t="s">
        <v>1151</v>
      </c>
    </row>
    <row r="222" spans="1:19" x14ac:dyDescent="0.25">
      <c r="A222" s="6">
        <v>1</v>
      </c>
      <c r="B222" s="6">
        <v>205</v>
      </c>
      <c r="C222" s="8">
        <v>36673</v>
      </c>
      <c r="D222" s="6" t="s">
        <v>1612</v>
      </c>
      <c r="E222" s="6" t="s">
        <v>1550</v>
      </c>
      <c r="F222" s="6" t="s">
        <v>1152</v>
      </c>
      <c r="G222" s="6" t="s">
        <v>904</v>
      </c>
      <c r="H222" s="6" t="s">
        <v>727</v>
      </c>
      <c r="I222" s="7">
        <v>1</v>
      </c>
      <c r="J222" s="7">
        <v>-6.5</v>
      </c>
      <c r="K222" s="6">
        <v>0</v>
      </c>
      <c r="L222" s="6">
        <v>0</v>
      </c>
      <c r="M222" s="6">
        <v>500</v>
      </c>
      <c r="N222" s="6">
        <v>8</v>
      </c>
      <c r="O222" s="6">
        <v>3</v>
      </c>
      <c r="Q222" s="6" t="s">
        <v>1153</v>
      </c>
    </row>
    <row r="223" spans="1:19" ht="51" x14ac:dyDescent="0.25">
      <c r="A223" s="6">
        <v>1</v>
      </c>
      <c r="B223" s="6">
        <v>206</v>
      </c>
      <c r="C223" s="8">
        <v>36678</v>
      </c>
      <c r="D223" s="6" t="s">
        <v>1612</v>
      </c>
      <c r="E223" s="6" t="s">
        <v>1550</v>
      </c>
      <c r="F223" s="6" t="s">
        <v>1154</v>
      </c>
      <c r="G223" s="6" t="s">
        <v>1155</v>
      </c>
      <c r="H223" s="6" t="s">
        <v>1156</v>
      </c>
      <c r="I223" s="7">
        <v>5</v>
      </c>
      <c r="J223" s="7">
        <v>-6</v>
      </c>
      <c r="K223" s="6">
        <v>2850</v>
      </c>
      <c r="L223" s="6">
        <v>1155</v>
      </c>
      <c r="N223" s="6">
        <v>90</v>
      </c>
      <c r="P223" s="6">
        <v>10.58</v>
      </c>
      <c r="S223" s="6" t="s">
        <v>1157</v>
      </c>
    </row>
    <row r="224" spans="1:19" ht="30.6" x14ac:dyDescent="0.25">
      <c r="A224" s="6">
        <v>1</v>
      </c>
      <c r="B224" s="6">
        <v>207</v>
      </c>
      <c r="C224" s="8">
        <v>36678</v>
      </c>
      <c r="D224" s="6" t="s">
        <v>1612</v>
      </c>
      <c r="E224" s="6" t="s">
        <v>1550</v>
      </c>
      <c r="F224" s="6" t="s">
        <v>1158</v>
      </c>
      <c r="G224" s="6" t="s">
        <v>1159</v>
      </c>
      <c r="H224" s="6" t="s">
        <v>1160</v>
      </c>
      <c r="I224" s="7">
        <v>2</v>
      </c>
      <c r="J224" s="7">
        <v>-6</v>
      </c>
      <c r="K224" s="6">
        <v>2000</v>
      </c>
      <c r="L224" s="6">
        <v>0</v>
      </c>
      <c r="M224" s="6">
        <v>1000</v>
      </c>
      <c r="N224" s="6">
        <v>21</v>
      </c>
      <c r="O224" s="6">
        <v>4.5</v>
      </c>
      <c r="Q224" s="6" t="s">
        <v>1161</v>
      </c>
    </row>
    <row r="225" spans="3:5" x14ac:dyDescent="0.25">
      <c r="C225" s="301"/>
      <c r="D225" s="301"/>
      <c r="E225" s="301"/>
    </row>
  </sheetData>
  <autoFilter ref="B1:S229"/>
  <mergeCells count="1">
    <mergeCell ref="C225:E225"/>
  </mergeCells>
  <phoneticPr fontId="0" type="noConversion"/>
  <printOptions headings="1" gridLines="1" gridLinesSet="0"/>
  <pageMargins left="0" right="0" top="0.55118110236220474" bottom="0.39370078740157483" header="0.39370078740157483" footer="0.39370078740157483"/>
  <pageSetup paperSize="9" scale="71" fitToHeight="15" orientation="landscape" horizontalDpi="4294967292" verticalDpi="4294967292" r:id="rId1"/>
  <headerFooter alignWithMargins="0">
    <oddHeader>&amp;F</oddHeader>
    <oddFooter>Page &amp;P</oddFooter>
  </headerFooter>
  <rowBreaks count="1" manualBreakCount="1">
    <brk id="17" max="1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33</vt:i4>
      </vt:variant>
      <vt:variant>
        <vt:lpstr>Plages nommées</vt:lpstr>
      </vt:variant>
      <vt:variant>
        <vt:i4>6</vt:i4>
      </vt:variant>
    </vt:vector>
  </HeadingPairs>
  <TitlesOfParts>
    <vt:vector size="39" baseType="lpstr">
      <vt:lpstr>Exercices</vt:lpstr>
      <vt:lpstr>Comparatif voile</vt:lpstr>
      <vt:lpstr>Matériel</vt:lpstr>
      <vt:lpstr>Synthèse</vt:lpstr>
      <vt:lpstr>2026</vt:lpstr>
      <vt:lpstr>2025</vt:lpstr>
      <vt:lpstr>2024</vt:lpstr>
      <vt:lpstr>2023</vt:lpstr>
      <vt:lpstr>2022</vt:lpstr>
      <vt:lpstr>2021</vt:lpstr>
      <vt:lpstr>2020</vt:lpstr>
      <vt:lpstr>Cal 2020</vt:lpstr>
      <vt:lpstr>2019</vt:lpstr>
      <vt:lpstr>Graph 2019</vt:lpstr>
      <vt:lpstr>2018</vt:lpstr>
      <vt:lpstr>Calendr. 2018</vt:lpstr>
      <vt:lpstr>2017</vt:lpstr>
      <vt:lpstr>Graph 2017</vt:lpstr>
      <vt:lpstr>2016</vt:lpstr>
      <vt:lpstr>2015</vt:lpstr>
      <vt:lpstr>Comparatif sellettes</vt:lpstr>
      <vt:lpstr>2010</vt:lpstr>
      <vt:lpstr>2009</vt:lpstr>
      <vt:lpstr>2008</vt:lpstr>
      <vt:lpstr>2007</vt:lpstr>
      <vt:lpstr>2006</vt:lpstr>
      <vt:lpstr>2005</vt:lpstr>
      <vt:lpstr>2004</vt:lpstr>
      <vt:lpstr>2003</vt:lpstr>
      <vt:lpstr>2002</vt:lpstr>
      <vt:lpstr>2001</vt:lpstr>
      <vt:lpstr>2000</vt:lpstr>
      <vt:lpstr>Vols 96 au 01_06_2000</vt:lpstr>
      <vt:lpstr>'2000'!Impression_des_titres</vt:lpstr>
      <vt:lpstr>'Vols 96 au 01_06_2000'!Impression_des_titres</vt:lpstr>
      <vt:lpstr>'2000'!Zone_d_impression</vt:lpstr>
      <vt:lpstr>'Comparatif voile'!Zone_d_impression</vt:lpstr>
      <vt:lpstr>Matériel!Zone_d_impression</vt:lpstr>
      <vt:lpstr>'Vols 96 au 01_06_2000'!Zone_d_impression</vt:lpstr>
    </vt:vector>
  </TitlesOfParts>
  <Company>UCE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Hervé ROBERT</dc:creator>
  <cp:lastModifiedBy>HR</cp:lastModifiedBy>
  <cp:lastPrinted>2023-12-31T17:44:47Z</cp:lastPrinted>
  <dcterms:created xsi:type="dcterms:W3CDTF">2000-06-08T15:51:04Z</dcterms:created>
  <dcterms:modified xsi:type="dcterms:W3CDTF">2026-03-30T07:43:24Z</dcterms:modified>
</cp:coreProperties>
</file>